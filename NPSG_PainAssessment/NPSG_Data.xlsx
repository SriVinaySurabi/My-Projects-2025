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quality management\REDCap\NPSG\"/>
    </mc:Choice>
  </mc:AlternateContent>
  <bookViews>
    <workbookView xWindow="14556" yWindow="6948" windowWidth="14196" windowHeight="6396" activeTab="1"/>
  </bookViews>
  <sheets>
    <sheet name="Pain Prior PRN Meds" sheetId="7" r:id="rId1"/>
    <sheet name="Pain Post PRN Meds" sheetId="6" r:id="rId2"/>
    <sheet name="Violent Restraint Log" sheetId="4" r:id="rId3"/>
    <sheet name="Non-Violent Restraint Order" sheetId="5" r:id="rId4"/>
    <sheet name="Non-Violent Restraint Log" sheetId="3" r:id="rId5"/>
    <sheet name="Blood Admin" sheetId="1" r:id="rId6"/>
    <sheet name="Feb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7" i="6" l="1"/>
  <c r="D728" i="6"/>
  <c r="D729" i="6"/>
  <c r="D730" i="6"/>
  <c r="D731" i="6"/>
  <c r="D732" i="6"/>
  <c r="D733" i="6"/>
  <c r="D734" i="6"/>
  <c r="D735" i="6"/>
  <c r="D736" i="6"/>
  <c r="D737" i="6"/>
  <c r="D726" i="6"/>
  <c r="D715" i="6"/>
  <c r="D716" i="6"/>
  <c r="D717" i="6"/>
  <c r="D718" i="6"/>
  <c r="D719" i="6"/>
  <c r="D720" i="6"/>
  <c r="D721" i="6"/>
  <c r="D722" i="6"/>
  <c r="D723" i="6"/>
  <c r="D724" i="6"/>
  <c r="D725" i="6"/>
  <c r="D714" i="6"/>
  <c r="D732" i="7"/>
  <c r="D733" i="7"/>
  <c r="D734" i="7"/>
  <c r="D735" i="7"/>
  <c r="D736" i="7"/>
  <c r="D737" i="7"/>
  <c r="D738" i="7"/>
  <c r="D739" i="7"/>
  <c r="D740" i="7"/>
  <c r="D741" i="7"/>
  <c r="D742" i="7"/>
  <c r="D743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3" i="6" l="1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7" i="7" l="1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71" i="7" l="1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67" i="6" l="1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 l="1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 l="1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613" i="6" l="1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9" i="7" l="1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 l="1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8" i="6" l="1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56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41" i="7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40" i="6"/>
  <c r="D539" i="6" l="1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11" i="6" l="1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498" i="6" l="1"/>
  <c r="D499" i="6"/>
  <c r="D500" i="6"/>
  <c r="D501" i="6"/>
  <c r="D502" i="6"/>
  <c r="D503" i="6"/>
  <c r="D504" i="6"/>
  <c r="D505" i="6"/>
  <c r="D506" i="6"/>
  <c r="D507" i="6"/>
  <c r="D508" i="6"/>
  <c r="D509" i="6"/>
  <c r="D510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9" i="6" l="1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41" i="6" l="1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40" i="6" l="1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5" i="6" l="1"/>
  <c r="D424" i="6"/>
  <c r="D423" i="6"/>
  <c r="D422" i="6"/>
  <c r="D421" i="6"/>
  <c r="D420" i="6"/>
  <c r="D419" i="6"/>
  <c r="D418" i="6"/>
  <c r="D417" i="6"/>
  <c r="D416" i="6"/>
  <c r="D415" i="6"/>
  <c r="D414" i="6"/>
  <c r="D413" i="6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 l="1"/>
  <c r="D409" i="7"/>
  <c r="D408" i="7"/>
  <c r="D407" i="7"/>
  <c r="D406" i="7"/>
  <c r="D405" i="7"/>
  <c r="D404" i="7"/>
  <c r="D403" i="7"/>
  <c r="D402" i="7"/>
  <c r="D401" i="7"/>
  <c r="D400" i="7"/>
  <c r="D399" i="7"/>
  <c r="D398" i="7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385" i="7" l="1"/>
  <c r="D386" i="7"/>
  <c r="D387" i="7"/>
  <c r="D388" i="7"/>
  <c r="D389" i="7"/>
  <c r="D390" i="7"/>
  <c r="D391" i="7"/>
  <c r="D392" i="7"/>
  <c r="D393" i="7"/>
  <c r="D394" i="7"/>
  <c r="D395" i="7"/>
  <c r="D396" i="7"/>
  <c r="D397" i="7"/>
  <c r="D386" i="6" l="1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371" i="7" l="1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71" i="6" l="1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44" i="6" l="1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45" i="6" l="1"/>
  <c r="D346" i="6"/>
  <c r="D347" i="6"/>
  <c r="D348" i="6"/>
  <c r="D349" i="6"/>
  <c r="D350" i="6"/>
  <c r="D351" i="6"/>
  <c r="D352" i="6"/>
  <c r="D353" i="6"/>
  <c r="D354" i="6"/>
  <c r="D355" i="6"/>
  <c r="D356" i="6"/>
  <c r="D357" i="6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42" i="7" l="1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29" i="6"/>
  <c r="D328" i="6" l="1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14" i="7"/>
  <c r="D302" i="6" l="1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01" i="6" l="1"/>
  <c r="D300" i="6"/>
  <c r="D299" i="6"/>
  <c r="D298" i="6"/>
  <c r="D297" i="6"/>
  <c r="D296" i="6"/>
  <c r="D295" i="6"/>
  <c r="D294" i="6"/>
  <c r="D293" i="6"/>
  <c r="D292" i="6"/>
  <c r="D291" i="6"/>
  <c r="D290" i="6"/>
  <c r="D289" i="6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 l="1"/>
  <c r="D283" i="7"/>
  <c r="D282" i="7"/>
  <c r="D281" i="7"/>
  <c r="D280" i="7"/>
  <c r="D279" i="7"/>
  <c r="D278" i="7"/>
  <c r="D277" i="7"/>
  <c r="D276" i="7"/>
  <c r="D275" i="7"/>
  <c r="D274" i="7"/>
  <c r="D273" i="7"/>
  <c r="D272" i="7"/>
  <c r="D288" i="6" l="1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1" i="7"/>
  <c r="D274" i="6" l="1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70" i="7" l="1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9" i="6" l="1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32" i="6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5" i="6" l="1"/>
  <c r="D244" i="6"/>
  <c r="D243" i="6"/>
  <c r="D242" i="6"/>
  <c r="D241" i="6"/>
  <c r="D240" i="6"/>
  <c r="D239" i="6"/>
  <c r="D238" i="6"/>
  <c r="D237" i="6"/>
  <c r="D236" i="6"/>
  <c r="D235" i="6"/>
  <c r="D234" i="6"/>
  <c r="D233" i="6"/>
  <c r="D241" i="7" l="1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 l="1"/>
  <c r="D227" i="7"/>
  <c r="D226" i="7"/>
  <c r="D225" i="7"/>
  <c r="D224" i="7"/>
  <c r="D223" i="7"/>
  <c r="D222" i="7"/>
  <c r="D221" i="7"/>
  <c r="D220" i="7"/>
  <c r="D219" i="7"/>
  <c r="D218" i="7"/>
  <c r="D217" i="7"/>
  <c r="D216" i="7"/>
  <c r="D189" i="7" l="1"/>
  <c r="D215" i="7" l="1"/>
  <c r="D214" i="7"/>
  <c r="D213" i="7"/>
  <c r="D212" i="7"/>
  <c r="D211" i="7"/>
  <c r="D210" i="7"/>
  <c r="D209" i="7"/>
  <c r="D208" i="7"/>
  <c r="D207" i="7"/>
  <c r="D206" i="7"/>
  <c r="D205" i="7"/>
  <c r="D204" i="7"/>
  <c r="D203" i="7"/>
  <c r="D177" i="6" l="1"/>
  <c r="D191" i="6" l="1"/>
  <c r="D219" i="6" l="1"/>
  <c r="D206" i="6"/>
  <c r="D231" i="6" l="1"/>
  <c r="D230" i="6"/>
  <c r="D229" i="6"/>
  <c r="D228" i="6"/>
  <c r="D227" i="6"/>
  <c r="D226" i="6"/>
  <c r="D225" i="6"/>
  <c r="D224" i="6"/>
  <c r="D223" i="6"/>
  <c r="D222" i="6"/>
  <c r="D221" i="6"/>
  <c r="D220" i="6"/>
  <c r="D218" i="6" l="1"/>
  <c r="D217" i="6"/>
  <c r="D216" i="6"/>
  <c r="D215" i="6"/>
  <c r="D214" i="6"/>
  <c r="D213" i="6"/>
  <c r="D212" i="6"/>
  <c r="D211" i="6"/>
  <c r="D210" i="6"/>
  <c r="D209" i="6"/>
  <c r="D208" i="6"/>
  <c r="D207" i="6"/>
  <c r="D205" i="6" l="1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8" i="7"/>
  <c r="D190" i="6" l="1"/>
  <c r="D189" i="6"/>
  <c r="D188" i="6"/>
  <c r="D187" i="6"/>
  <c r="D186" i="6"/>
  <c r="D185" i="6"/>
  <c r="D184" i="6"/>
  <c r="D183" i="6"/>
  <c r="D182" i="6"/>
  <c r="D181" i="6"/>
  <c r="D180" i="6"/>
  <c r="D179" i="6"/>
  <c r="D178" i="6"/>
  <c r="D187" i="7" l="1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6" i="6" l="1"/>
  <c r="D73" i="6" l="1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175" i="6" l="1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46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173" i="7" l="1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 l="1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 l="1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75" i="7" l="1"/>
  <c r="D76" i="7"/>
  <c r="D77" i="7"/>
  <c r="D78" i="7"/>
  <c r="D79" i="7"/>
  <c r="D80" i="7"/>
  <c r="D81" i="7"/>
  <c r="D82" i="7"/>
  <c r="D83" i="7"/>
  <c r="D84" i="7"/>
  <c r="D85" i="7"/>
  <c r="D86" i="7"/>
  <c r="D87" i="7"/>
  <c r="D74" i="7"/>
  <c r="D70" i="1" l="1"/>
  <c r="D69" i="1"/>
  <c r="D68" i="1"/>
  <c r="D67" i="1"/>
  <c r="D66" i="1"/>
  <c r="D65" i="1"/>
  <c r="D64" i="1"/>
  <c r="D63" i="1"/>
  <c r="D62" i="1"/>
  <c r="D61" i="1" l="1"/>
  <c r="D60" i="1"/>
  <c r="D59" i="1"/>
  <c r="D58" i="1"/>
  <c r="D57" i="1"/>
  <c r="D56" i="1"/>
  <c r="D55" i="1"/>
  <c r="D54" i="1"/>
  <c r="D53" i="1"/>
  <c r="D52" i="1" l="1"/>
  <c r="D51" i="1"/>
  <c r="D50" i="1"/>
  <c r="D49" i="1"/>
  <c r="D48" i="1"/>
  <c r="D47" i="1"/>
  <c r="D46" i="1"/>
  <c r="D45" i="1"/>
  <c r="D44" i="1"/>
  <c r="D43" i="1" l="1"/>
  <c r="D42" i="1"/>
  <c r="D41" i="1"/>
  <c r="D40" i="1"/>
  <c r="D39" i="1"/>
  <c r="D38" i="1"/>
  <c r="D37" i="1"/>
  <c r="D36" i="1"/>
  <c r="D35" i="1"/>
  <c r="D34" i="1" l="1"/>
  <c r="D33" i="1"/>
  <c r="D32" i="1"/>
  <c r="D31" i="1"/>
  <c r="D30" i="1"/>
  <c r="D29" i="1"/>
  <c r="D28" i="1"/>
  <c r="D27" i="1"/>
  <c r="E15" i="3" l="1"/>
  <c r="D26" i="1"/>
  <c r="D25" i="1"/>
  <c r="D24" i="1"/>
  <c r="D23" i="1"/>
  <c r="D22" i="1"/>
  <c r="D21" i="1"/>
  <c r="D20" i="1"/>
  <c r="D19" i="1"/>
  <c r="D2" i="7" l="1"/>
  <c r="D2" i="6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14" i="3"/>
  <c r="E13" i="3"/>
  <c r="E12" i="3"/>
  <c r="E11" i="3"/>
  <c r="E10" i="3"/>
  <c r="E8" i="3"/>
  <c r="E7" i="3"/>
  <c r="E6" i="3"/>
  <c r="E5" i="3"/>
  <c r="E4" i="3"/>
  <c r="E3" i="3"/>
  <c r="E2" i="3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<sst xmlns="http://schemas.openxmlformats.org/spreadsheetml/2006/main" count="3402" uniqueCount="116">
  <si>
    <t>ED</t>
  </si>
  <si>
    <t>ICU</t>
  </si>
  <si>
    <t>3N</t>
  </si>
  <si>
    <t>4N</t>
  </si>
  <si>
    <t>6NE</t>
  </si>
  <si>
    <t>7NE</t>
  </si>
  <si>
    <t>Fallout</t>
  </si>
  <si>
    <t>Total</t>
  </si>
  <si>
    <t>percent</t>
  </si>
  <si>
    <t>5NE</t>
  </si>
  <si>
    <t>Non_Violent_Restraint_2035_Log</t>
  </si>
  <si>
    <t>Month</t>
  </si>
  <si>
    <t>2016 -2</t>
  </si>
  <si>
    <t>Percent</t>
  </si>
  <si>
    <t>4NE</t>
  </si>
  <si>
    <t>2016-02</t>
  </si>
  <si>
    <t>Compliance %</t>
  </si>
  <si>
    <t>2016-01</t>
  </si>
  <si>
    <t>2016 -02</t>
  </si>
  <si>
    <t>Compliant</t>
  </si>
  <si>
    <t>Non-Violent Restraint Log</t>
  </si>
  <si>
    <t xml:space="preserve">Compliance Rate </t>
  </si>
  <si>
    <t>Orders</t>
  </si>
  <si>
    <t>Documentation</t>
  </si>
  <si>
    <t>Violent Restraint Log</t>
  </si>
  <si>
    <t>Blood Administration Unit</t>
  </si>
  <si>
    <t>2016 -01</t>
  </si>
  <si>
    <t>3NE</t>
  </si>
  <si>
    <t>Non-Violent Restraint Order</t>
  </si>
  <si>
    <t>Compliance Rate</t>
  </si>
  <si>
    <t>CSJ PROVIDENCE ST JOSEPH MEDICAL CENTER</t>
  </si>
  <si>
    <t>CSJ CARDIAC TELEMETRY</t>
  </si>
  <si>
    <t>CSJ EMERGENCY CENTER</t>
  </si>
  <si>
    <t>CSJ ICU</t>
  </si>
  <si>
    <t>CSJ ACUTE REHAB</t>
  </si>
  <si>
    <t>CSJ MEDSURG BARIATRIC</t>
  </si>
  <si>
    <t>CSJ MEDSURG ONCOLOGY</t>
  </si>
  <si>
    <t>CSJ NEURO TELEMETRY</t>
  </si>
  <si>
    <t>Pain Assessment Prior to PRN Pain Medication</t>
  </si>
  <si>
    <t>Total  Administration</t>
  </si>
  <si>
    <t>Total In Compliant</t>
  </si>
  <si>
    <t>Pain Reassessment After PRN Pain Meds</t>
  </si>
  <si>
    <t>2016-03</t>
  </si>
  <si>
    <t>2016 -03</t>
  </si>
  <si>
    <t>2016-04</t>
  </si>
  <si>
    <t>2016 -04</t>
  </si>
  <si>
    <t>2016-05</t>
  </si>
  <si>
    <t>5N</t>
  </si>
  <si>
    <t>2016 -05</t>
  </si>
  <si>
    <t>NICU</t>
  </si>
  <si>
    <t>2016-06</t>
  </si>
  <si>
    <t>2016 -06</t>
  </si>
  <si>
    <t>2016-07</t>
  </si>
  <si>
    <t>2016 -07</t>
  </si>
  <si>
    <t>2016-08</t>
  </si>
  <si>
    <t>2016 -08</t>
  </si>
  <si>
    <t>2016-09</t>
  </si>
  <si>
    <t>CSJ IRF</t>
  </si>
  <si>
    <t>CSJ LABOR AND DELIVERY</t>
  </si>
  <si>
    <t>CSJ MEDSURG TELE OVERFLOW</t>
  </si>
  <si>
    <t>CSJ MOTHER BABY</t>
  </si>
  <si>
    <t>CSJ NICU</t>
  </si>
  <si>
    <t>CSJ TELE OVERFLOW</t>
  </si>
  <si>
    <t>CSJ IRF TRANSITIONAL REHAB</t>
  </si>
  <si>
    <t>CSJ MEDSURG ORTHO VASC</t>
  </si>
  <si>
    <t>2016-10</t>
  </si>
  <si>
    <t>2016-11</t>
  </si>
  <si>
    <t>2016-12</t>
  </si>
  <si>
    <t>2017-02</t>
  </si>
  <si>
    <t>CSJ MEDSURG OVERFLOW</t>
  </si>
  <si>
    <t>2017-03</t>
  </si>
  <si>
    <t>2017-01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</si>
  <si>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</si>
  <si>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</si>
  <si>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</si>
  <si>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</si>
  <si>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</si>
  <si>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</si>
  <si>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</si>
  <si>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</si>
  <si>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</si>
  <si>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</si>
  <si>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</si>
  <si>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</si>
  <si>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</si>
  <si>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</si>
  <si>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</si>
  <si>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</si>
  <si>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</si>
  <si>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</si>
  <si>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</si>
  <si>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</si>
  <si>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</si>
  <si>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</si>
  <si>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</si>
  <si>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</si>
  <si>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</si>
  <si>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</si>
  <si>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</si>
  <si>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</si>
  <si>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</si>
  <si>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</si>
  <si>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</si>
  <si>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</si>
  <si>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</si>
  <si>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</si>
  <si>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S</t>
  </si>
  <si>
    <t>2020-02</t>
  </si>
  <si>
    <t>CSJ EMERGENT MED SURG 4S</t>
  </si>
  <si>
    <t>2020-03</t>
  </si>
  <si>
    <t>CSJ EMERGENT ICU 5S</t>
  </si>
  <si>
    <t>CSJ EMERGENT ICU 6S</t>
  </si>
  <si>
    <t>2020-04</t>
  </si>
  <si>
    <t>2020-05</t>
  </si>
  <si>
    <t>2020-06</t>
  </si>
  <si>
    <t>2020-07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</si>
</sst>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&quot;  &quot;h\:mm\:ss\ AM/PM"/>
    <numFmt numFmtId="165" formatCode="[$-409]mmm\-yy;@"/>
    <numFmt numFmtId="166" formatCode="#,##0.00[$%-409]"/>
  </numFmts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333333"/>
      <name val="Verdan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/>
  </cellStyleXfs>
  <cellXfs count="65">
    <xf numFmtId="0" fontId="0" fillId="0" borderId="0" xfId="0"/>
    <xf numFmtId="9" fontId="0" fillId="0" borderId="0" xfId="0" applyNumberForma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9" fontId="0" fillId="4" borderId="5" xfId="0" applyNumberFormat="1" applyFont="1" applyFill="1" applyBorder="1"/>
    <xf numFmtId="0" fontId="0" fillId="4" borderId="6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9" fontId="0" fillId="5" borderId="5" xfId="0" applyNumberFormat="1" applyFont="1" applyFill="1" applyBorder="1"/>
    <xf numFmtId="0" fontId="0" fillId="0" borderId="0" xfId="0" applyFill="1"/>
    <xf numFmtId="0" fontId="0" fillId="0" borderId="0" xfId="0" applyFill="1" applyAlignment="1">
      <alignment vertical="top"/>
    </xf>
    <xf numFmtId="0" fontId="2" fillId="0" borderId="0" xfId="0" applyFont="1" applyFill="1"/>
    <xf numFmtId="165" fontId="0" fillId="0" borderId="0" xfId="0" applyNumberFormat="1" applyFill="1"/>
    <xf numFmtId="164" fontId="0" fillId="0" borderId="0" xfId="0" applyNumberFormat="1" applyFill="1" applyAlignment="1">
      <alignment vertical="top"/>
    </xf>
    <xf numFmtId="14" fontId="0" fillId="0" borderId="0" xfId="0" applyNumberFormat="1" applyFill="1"/>
    <xf numFmtId="0" fontId="1" fillId="0" borderId="0" xfId="1" applyFill="1"/>
    <xf numFmtId="22" fontId="0" fillId="0" borderId="0" xfId="0" applyNumberFormat="1" applyFill="1"/>
    <xf numFmtId="0" fontId="3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0" fillId="7" borderId="4" xfId="0" applyFont="1" applyFill="1" applyBorder="1"/>
    <xf numFmtId="0" fontId="0" fillId="7" borderId="5" xfId="0" applyFont="1" applyFill="1" applyBorder="1"/>
    <xf numFmtId="9" fontId="0" fillId="7" borderId="5" xfId="0" applyNumberFormat="1" applyFont="1" applyFill="1" applyBorder="1"/>
    <xf numFmtId="0" fontId="0" fillId="7" borderId="6" xfId="0" applyFont="1" applyFill="1" applyBorder="1"/>
    <xf numFmtId="0" fontId="0" fillId="8" borderId="4" xfId="0" applyFont="1" applyFill="1" applyBorder="1"/>
    <xf numFmtId="0" fontId="0" fillId="8" borderId="5" xfId="0" applyFont="1" applyFill="1" applyBorder="1"/>
    <xf numFmtId="0" fontId="0" fillId="8" borderId="6" xfId="0" applyFont="1" applyFill="1" applyBorder="1"/>
    <xf numFmtId="0" fontId="0" fillId="8" borderId="7" xfId="0" applyFont="1" applyFill="1" applyBorder="1"/>
    <xf numFmtId="0" fontId="0" fillId="8" borderId="8" xfId="0" applyFont="1" applyFill="1" applyBorder="1"/>
    <xf numFmtId="0" fontId="0" fillId="8" borderId="9" xfId="0" applyFont="1" applyFill="1" applyBorder="1"/>
    <xf numFmtId="0" fontId="0" fillId="7" borderId="7" xfId="0" applyFont="1" applyFill="1" applyBorder="1"/>
    <xf numFmtId="0" fontId="0" fillId="7" borderId="8" xfId="0" applyFont="1" applyFill="1" applyBorder="1"/>
    <xf numFmtId="0" fontId="0" fillId="7" borderId="9" xfId="0" applyFont="1" applyFill="1" applyBorder="1"/>
    <xf numFmtId="0" fontId="4" fillId="0" borderId="0" xfId="0" applyFont="1" applyFill="1"/>
    <xf numFmtId="9" fontId="0" fillId="0" borderId="0" xfId="0" applyNumberFormat="1" applyFill="1"/>
    <xf numFmtId="0" fontId="4" fillId="9" borderId="0" xfId="0" applyFont="1" applyFill="1"/>
    <xf numFmtId="9" fontId="4" fillId="9" borderId="0" xfId="0" applyNumberFormat="1" applyFont="1" applyFill="1"/>
    <xf numFmtId="0" fontId="0" fillId="10" borderId="0" xfId="0" applyFill="1"/>
    <xf numFmtId="9" fontId="0" fillId="10" borderId="0" xfId="0" applyNumberFormat="1" applyFill="1"/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0" fillId="0" borderId="0" xfId="0" applyFont="1" applyFill="1"/>
    <xf numFmtId="0" fontId="4" fillId="0" borderId="0" xfId="0" applyFont="1"/>
    <xf numFmtId="9" fontId="4" fillId="0" borderId="0" xfId="0" applyNumberFormat="1" applyFont="1"/>
    <xf numFmtId="0" fontId="0" fillId="8" borderId="10" xfId="0" applyFont="1" applyFill="1" applyBorder="1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3" fontId="0" fillId="0" borderId="0" xfId="0" applyNumberFormat="1" applyFill="1"/>
    <xf numFmtId="166" fontId="0" fillId="0" borderId="0" xfId="0" applyNumberFormat="1" applyFill="1" applyAlignment="1">
      <alignment vertical="top"/>
    </xf>
    <xf numFmtId="10" fontId="0" fillId="0" borderId="0" xfId="0" applyNumberFormat="1" applyFill="1"/>
    <xf numFmtId="0" fontId="8" fillId="0" borderId="0" xfId="2"/>
    <xf numFmtId="0" fontId="8" fillId="0" borderId="0" xfId="2" applyAlignment="1">
      <alignment vertical="top"/>
    </xf>
    <xf numFmtId="3" fontId="8" fillId="0" borderId="0" xfId="2" applyNumberFormat="1" applyAlignment="1">
      <alignment vertical="top"/>
    </xf>
    <xf numFmtId="166" fontId="0" fillId="0" borderId="0" xfId="0" applyNumberFormat="1" applyFont="1" applyAlignment="1">
      <alignment vertical="top"/>
    </xf>
  </cellXfs>
  <cellStyles count="3">
    <cellStyle name="Bad" xfId="1" builtinId="27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H743"/>
  <sheetViews>
    <sheetView workbookViewId="0">
      <pane xSplit="1" ySplit="1" topLeftCell="B738" activePane="bottomRight" state="frozen"/>
      <selection pane="topRight" activeCell="B1" sqref="B1"/>
      <selection pane="bottomLeft" activeCell="A2" sqref="A2"/>
      <selection pane="bottomRight" activeCell="D743" sqref="D743"/>
    </sheetView>
  </sheetViews>
  <sheetFormatPr defaultColWidth="9.109375" defaultRowHeight="14.4" x14ac:dyDescent="0.3"/>
  <cols>
    <col min="1" max="1" width="42.88671875" style="13" bestFit="1" customWidth="1"/>
    <col min="2" max="2" width="19.88671875" style="13" bestFit="1" customWidth="1"/>
    <col min="3" max="3" width="17.44140625" style="13" bestFit="1" customWidth="1"/>
    <col min="4" max="4" width="18.33203125" style="38" customWidth="1"/>
    <col min="5" max="5" width="8.109375" style="13" bestFit="1" customWidth="1"/>
    <col min="6" max="16384" width="9.109375" style="13"/>
  </cols>
  <sheetData>
    <row r="1" spans="1:5" x14ac:dyDescent="0.3">
      <c r="A1" s="41" t="s">
        <v>38</v>
      </c>
      <c r="B1" s="41" t="s">
        <v>39</v>
      </c>
      <c r="C1" s="41" t="s">
        <v>40</v>
      </c>
      <c r="D1" s="42" t="s">
        <v>29</v>
      </c>
      <c r="E1" s="41" t="s">
        <v>11</v>
      </c>
    </row>
    <row r="2" spans="1:5" x14ac:dyDescent="0.3">
      <c r="A2" s="13" t="s">
        <v>30</v>
      </c>
      <c r="B2" s="13">
        <v>5196</v>
      </c>
      <c r="C2" s="13">
        <v>3381</v>
      </c>
      <c r="D2" s="38">
        <f>C2/B2</f>
        <v>0.65069284064665123</v>
      </c>
      <c r="E2" s="13" t="s">
        <v>17</v>
      </c>
    </row>
    <row r="3" spans="1:5" x14ac:dyDescent="0.3">
      <c r="A3" s="13" t="s">
        <v>31</v>
      </c>
      <c r="B3" s="13">
        <v>539</v>
      </c>
      <c r="C3" s="13">
        <v>354</v>
      </c>
      <c r="D3" s="38">
        <v>0.65680000000000005</v>
      </c>
      <c r="E3" s="13" t="s">
        <v>17</v>
      </c>
    </row>
    <row r="4" spans="1:5" x14ac:dyDescent="0.3">
      <c r="A4" s="13" t="s">
        <v>32</v>
      </c>
      <c r="B4" s="13">
        <v>27</v>
      </c>
      <c r="C4" s="13">
        <v>14</v>
      </c>
      <c r="D4" s="38">
        <v>0.51849999999999996</v>
      </c>
      <c r="E4" s="13" t="s">
        <v>17</v>
      </c>
    </row>
    <row r="5" spans="1:5" x14ac:dyDescent="0.3">
      <c r="A5" s="13" t="s">
        <v>33</v>
      </c>
      <c r="B5" s="13">
        <v>729</v>
      </c>
      <c r="C5" s="13">
        <v>607</v>
      </c>
      <c r="D5" s="38">
        <v>0.83260000000000001</v>
      </c>
      <c r="E5" s="13" t="s">
        <v>17</v>
      </c>
    </row>
    <row r="6" spans="1:5" x14ac:dyDescent="0.3">
      <c r="A6" s="13" t="s">
        <v>34</v>
      </c>
      <c r="B6" s="13">
        <v>35</v>
      </c>
      <c r="C6" s="13">
        <v>23</v>
      </c>
      <c r="D6" s="38">
        <v>0.65710000000000002</v>
      </c>
      <c r="E6" s="13" t="s">
        <v>17</v>
      </c>
    </row>
    <row r="7" spans="1:5" x14ac:dyDescent="0.3">
      <c r="A7" s="13" t="s">
        <v>35</v>
      </c>
      <c r="B7" s="13">
        <v>1204</v>
      </c>
      <c r="C7" s="13">
        <v>750</v>
      </c>
      <c r="D7" s="38">
        <v>0.62290000000000001</v>
      </c>
      <c r="E7" s="13" t="s">
        <v>17</v>
      </c>
    </row>
    <row r="8" spans="1:5" x14ac:dyDescent="0.3">
      <c r="A8" s="13" t="s">
        <v>36</v>
      </c>
      <c r="B8" s="13">
        <v>1094</v>
      </c>
      <c r="C8" s="13">
        <v>601</v>
      </c>
      <c r="D8" s="38">
        <v>0.5494</v>
      </c>
      <c r="E8" s="13" t="s">
        <v>17</v>
      </c>
    </row>
    <row r="9" spans="1:5" x14ac:dyDescent="0.3">
      <c r="A9" s="13" t="s">
        <v>64</v>
      </c>
      <c r="B9" s="13">
        <v>1140</v>
      </c>
      <c r="C9" s="13">
        <v>714</v>
      </c>
      <c r="D9" s="38">
        <v>0.62629999999999997</v>
      </c>
      <c r="E9" s="13" t="s">
        <v>17</v>
      </c>
    </row>
    <row r="10" spans="1:5" x14ac:dyDescent="0.3">
      <c r="A10" s="13" t="s">
        <v>37</v>
      </c>
      <c r="B10" s="13">
        <v>428</v>
      </c>
      <c r="C10" s="13">
        <v>318</v>
      </c>
      <c r="D10" s="38">
        <v>0.74299999999999999</v>
      </c>
      <c r="E10" s="13" t="s">
        <v>17</v>
      </c>
    </row>
    <row r="11" spans="1:5" x14ac:dyDescent="0.3">
      <c r="A11" s="13" t="s">
        <v>30</v>
      </c>
      <c r="B11" s="13">
        <v>5802</v>
      </c>
      <c r="C11" s="13">
        <v>3824</v>
      </c>
      <c r="D11" s="38">
        <v>0.65910000000000002</v>
      </c>
      <c r="E11" s="13" t="s">
        <v>15</v>
      </c>
    </row>
    <row r="12" spans="1:5" x14ac:dyDescent="0.3">
      <c r="A12" s="13" t="s">
        <v>31</v>
      </c>
      <c r="B12" s="13">
        <v>364</v>
      </c>
      <c r="C12" s="13">
        <v>230</v>
      </c>
      <c r="D12" s="38">
        <v>0.63190000000000002</v>
      </c>
      <c r="E12" s="13" t="s">
        <v>15</v>
      </c>
    </row>
    <row r="13" spans="1:5" x14ac:dyDescent="0.3">
      <c r="A13" s="13" t="s">
        <v>32</v>
      </c>
      <c r="B13" s="13">
        <v>32</v>
      </c>
      <c r="C13" s="13">
        <v>15</v>
      </c>
      <c r="D13" s="38">
        <v>0.46879999999999999</v>
      </c>
      <c r="E13" s="13" t="s">
        <v>15</v>
      </c>
    </row>
    <row r="14" spans="1:5" x14ac:dyDescent="0.3">
      <c r="A14" s="13" t="s">
        <v>33</v>
      </c>
      <c r="B14" s="13">
        <v>897</v>
      </c>
      <c r="C14" s="13">
        <v>775</v>
      </c>
      <c r="D14" s="38">
        <v>0.86399999999999999</v>
      </c>
      <c r="E14" s="13" t="s">
        <v>15</v>
      </c>
    </row>
    <row r="15" spans="1:5" x14ac:dyDescent="0.3">
      <c r="A15" s="13" t="s">
        <v>34</v>
      </c>
      <c r="B15" s="13">
        <v>35</v>
      </c>
      <c r="C15" s="13">
        <v>21</v>
      </c>
      <c r="D15" s="38">
        <v>0.6</v>
      </c>
      <c r="E15" s="13" t="s">
        <v>15</v>
      </c>
    </row>
    <row r="16" spans="1:5" x14ac:dyDescent="0.3">
      <c r="A16" s="13" t="s">
        <v>35</v>
      </c>
      <c r="B16" s="13">
        <v>1024</v>
      </c>
      <c r="C16" s="13">
        <v>652</v>
      </c>
      <c r="D16" s="38">
        <v>0.63670000000000004</v>
      </c>
      <c r="E16" s="13" t="s">
        <v>15</v>
      </c>
    </row>
    <row r="17" spans="1:6" x14ac:dyDescent="0.3">
      <c r="A17" s="13" t="s">
        <v>36</v>
      </c>
      <c r="B17" s="13">
        <v>970</v>
      </c>
      <c r="C17" s="13">
        <v>532</v>
      </c>
      <c r="D17" s="38">
        <v>0.54849999999999999</v>
      </c>
      <c r="E17" s="13" t="s">
        <v>15</v>
      </c>
    </row>
    <row r="18" spans="1:6" x14ac:dyDescent="0.3">
      <c r="A18" s="13" t="s">
        <v>64</v>
      </c>
      <c r="B18" s="13">
        <v>1025</v>
      </c>
      <c r="C18" s="13">
        <v>619</v>
      </c>
      <c r="D18" s="38">
        <v>0.60389999999999999</v>
      </c>
      <c r="E18" s="13" t="s">
        <v>15</v>
      </c>
    </row>
    <row r="19" spans="1:6" x14ac:dyDescent="0.3">
      <c r="A19" s="13" t="s">
        <v>37</v>
      </c>
      <c r="B19" s="13">
        <v>451</v>
      </c>
      <c r="C19" s="13">
        <v>330</v>
      </c>
      <c r="D19" s="38">
        <v>0.73170000000000002</v>
      </c>
      <c r="E19" s="13" t="s">
        <v>15</v>
      </c>
    </row>
    <row r="20" spans="1:6" x14ac:dyDescent="0.3">
      <c r="A20" s="44" t="s">
        <v>30</v>
      </c>
      <c r="B20" s="48">
        <v>7227</v>
      </c>
      <c r="C20" s="48">
        <v>4826</v>
      </c>
      <c r="D20" s="50">
        <v>0.66779999999999995</v>
      </c>
      <c r="E20" s="13" t="s">
        <v>42</v>
      </c>
      <c r="F20" s="46"/>
    </row>
    <row r="21" spans="1:6" x14ac:dyDescent="0.3">
      <c r="A21" s="44" t="s">
        <v>31</v>
      </c>
      <c r="B21" s="49">
        <v>736</v>
      </c>
      <c r="C21" s="49">
        <v>500</v>
      </c>
      <c r="D21" s="50">
        <v>0.67930000000000001</v>
      </c>
      <c r="E21" s="13" t="s">
        <v>42</v>
      </c>
      <c r="F21" s="46"/>
    </row>
    <row r="22" spans="1:6" x14ac:dyDescent="0.3">
      <c r="A22" s="44" t="s">
        <v>32</v>
      </c>
      <c r="B22" s="49">
        <v>36</v>
      </c>
      <c r="C22" s="49">
        <v>15</v>
      </c>
      <c r="D22" s="50">
        <v>0.41670000000000001</v>
      </c>
      <c r="E22" s="13" t="s">
        <v>42</v>
      </c>
      <c r="F22" s="46"/>
    </row>
    <row r="23" spans="1:6" x14ac:dyDescent="0.3">
      <c r="A23" s="44" t="s">
        <v>33</v>
      </c>
      <c r="B23" s="48">
        <v>1185</v>
      </c>
      <c r="C23" s="48">
        <v>1028</v>
      </c>
      <c r="D23" s="50">
        <v>0.86750000000000005</v>
      </c>
      <c r="E23" s="13" t="s">
        <v>42</v>
      </c>
      <c r="F23" s="47"/>
    </row>
    <row r="24" spans="1:6" x14ac:dyDescent="0.3">
      <c r="A24" s="13" t="s">
        <v>34</v>
      </c>
      <c r="B24" s="49">
        <v>102</v>
      </c>
      <c r="C24" s="49">
        <v>59</v>
      </c>
      <c r="D24" s="50">
        <v>0.57840000000000003</v>
      </c>
      <c r="E24" s="13" t="s">
        <v>42</v>
      </c>
      <c r="F24" s="46"/>
    </row>
    <row r="25" spans="1:6" x14ac:dyDescent="0.3">
      <c r="A25" s="44" t="s">
        <v>35</v>
      </c>
      <c r="B25" s="48">
        <v>1196</v>
      </c>
      <c r="C25" s="49">
        <v>740</v>
      </c>
      <c r="D25" s="50">
        <v>0.61870000000000003</v>
      </c>
      <c r="E25" s="13" t="s">
        <v>42</v>
      </c>
      <c r="F25" s="46"/>
    </row>
    <row r="26" spans="1:6" x14ac:dyDescent="0.3">
      <c r="A26" s="44" t="s">
        <v>36</v>
      </c>
      <c r="B26" s="48">
        <v>1065</v>
      </c>
      <c r="C26" s="49">
        <v>545</v>
      </c>
      <c r="D26" s="50">
        <v>0.51170000000000004</v>
      </c>
      <c r="E26" s="13" t="s">
        <v>42</v>
      </c>
      <c r="F26" s="46"/>
    </row>
    <row r="27" spans="1:6" x14ac:dyDescent="0.3">
      <c r="A27" s="44" t="s">
        <v>64</v>
      </c>
      <c r="B27" s="48">
        <v>1130</v>
      </c>
      <c r="C27" s="49">
        <v>692</v>
      </c>
      <c r="D27" s="50">
        <v>0.61240000000000006</v>
      </c>
      <c r="E27" s="13" t="s">
        <v>42</v>
      </c>
      <c r="F27" s="46"/>
    </row>
    <row r="28" spans="1:6" x14ac:dyDescent="0.3">
      <c r="A28" s="44" t="s">
        <v>37</v>
      </c>
      <c r="B28" s="49">
        <v>447</v>
      </c>
      <c r="C28" s="49">
        <v>349</v>
      </c>
      <c r="D28" s="50">
        <v>0.78080000000000005</v>
      </c>
      <c r="E28" s="13" t="s">
        <v>42</v>
      </c>
      <c r="F28" s="46"/>
    </row>
    <row r="29" spans="1:6" x14ac:dyDescent="0.3">
      <c r="A29" s="44" t="s">
        <v>30</v>
      </c>
      <c r="B29" s="49">
        <v>5862</v>
      </c>
      <c r="C29" s="49">
        <v>3897</v>
      </c>
      <c r="D29" s="50">
        <v>0.66</v>
      </c>
      <c r="E29" s="51" t="s">
        <v>44</v>
      </c>
      <c r="F29" s="46"/>
    </row>
    <row r="30" spans="1:6" x14ac:dyDescent="0.3">
      <c r="A30" s="44" t="s">
        <v>31</v>
      </c>
      <c r="B30" s="44">
        <v>541</v>
      </c>
      <c r="C30" s="44">
        <v>366</v>
      </c>
      <c r="D30" s="45">
        <v>0.67649999999999999</v>
      </c>
      <c r="E30" s="51" t="s">
        <v>44</v>
      </c>
    </row>
    <row r="31" spans="1:6" x14ac:dyDescent="0.3">
      <c r="A31" s="44" t="s">
        <v>32</v>
      </c>
      <c r="B31" s="44">
        <v>40</v>
      </c>
      <c r="C31" s="44">
        <v>26</v>
      </c>
      <c r="D31" s="45">
        <v>0.65</v>
      </c>
      <c r="E31" s="51" t="s">
        <v>44</v>
      </c>
    </row>
    <row r="32" spans="1:6" x14ac:dyDescent="0.3">
      <c r="A32" s="44" t="s">
        <v>33</v>
      </c>
      <c r="B32" s="44">
        <v>903</v>
      </c>
      <c r="C32" s="44">
        <v>787</v>
      </c>
      <c r="D32" s="45">
        <v>0.87150000000000005</v>
      </c>
      <c r="E32" s="51" t="s">
        <v>44</v>
      </c>
    </row>
    <row r="33" spans="1:5" x14ac:dyDescent="0.3">
      <c r="A33" s="13" t="s">
        <v>34</v>
      </c>
      <c r="B33" s="44">
        <v>170</v>
      </c>
      <c r="C33" s="44">
        <v>105</v>
      </c>
      <c r="D33" s="45">
        <v>0.61760000000000004</v>
      </c>
      <c r="E33" s="51" t="s">
        <v>44</v>
      </c>
    </row>
    <row r="34" spans="1:5" x14ac:dyDescent="0.3">
      <c r="A34" s="44" t="s">
        <v>35</v>
      </c>
      <c r="B34" s="43">
        <v>1121</v>
      </c>
      <c r="C34" s="44">
        <v>680</v>
      </c>
      <c r="D34" s="45">
        <v>0.60660000000000003</v>
      </c>
      <c r="E34" s="51" t="s">
        <v>44</v>
      </c>
    </row>
    <row r="35" spans="1:5" x14ac:dyDescent="0.3">
      <c r="A35" s="44" t="s">
        <v>36</v>
      </c>
      <c r="B35" s="44">
        <v>760</v>
      </c>
      <c r="C35" s="44">
        <v>422</v>
      </c>
      <c r="D35" s="45">
        <v>0.55530000000000002</v>
      </c>
      <c r="E35" s="51" t="s">
        <v>44</v>
      </c>
    </row>
    <row r="36" spans="1:5" x14ac:dyDescent="0.3">
      <c r="A36" s="44" t="s">
        <v>64</v>
      </c>
      <c r="B36" s="44">
        <v>979</v>
      </c>
      <c r="C36" s="44">
        <v>598</v>
      </c>
      <c r="D36" s="45">
        <v>0.61080000000000001</v>
      </c>
      <c r="E36" s="51" t="s">
        <v>44</v>
      </c>
    </row>
    <row r="37" spans="1:5" x14ac:dyDescent="0.3">
      <c r="A37" s="52" t="s">
        <v>37</v>
      </c>
      <c r="B37" s="52">
        <v>550</v>
      </c>
      <c r="C37" s="52">
        <v>402</v>
      </c>
      <c r="D37" s="53">
        <v>0.73089999999999999</v>
      </c>
      <c r="E37" s="51" t="s">
        <v>44</v>
      </c>
    </row>
    <row r="38" spans="1:5" x14ac:dyDescent="0.3">
      <c r="A38" s="44" t="s">
        <v>30</v>
      </c>
      <c r="B38" s="49">
        <v>6541</v>
      </c>
      <c r="C38" s="49">
        <v>4373</v>
      </c>
      <c r="D38" s="50">
        <v>0.67</v>
      </c>
      <c r="E38" s="51" t="s">
        <v>46</v>
      </c>
    </row>
    <row r="39" spans="1:5" x14ac:dyDescent="0.3">
      <c r="A39" s="44" t="s">
        <v>31</v>
      </c>
      <c r="B39" s="44">
        <v>580</v>
      </c>
      <c r="C39" s="44">
        <v>364</v>
      </c>
      <c r="D39" s="45">
        <v>0.63</v>
      </c>
      <c r="E39" s="51" t="s">
        <v>46</v>
      </c>
    </row>
    <row r="40" spans="1:5" x14ac:dyDescent="0.3">
      <c r="A40" s="44" t="s">
        <v>32</v>
      </c>
      <c r="B40" s="44">
        <v>30</v>
      </c>
      <c r="C40" s="44">
        <v>10</v>
      </c>
      <c r="D40" s="45">
        <v>0.33</v>
      </c>
      <c r="E40" s="51" t="s">
        <v>46</v>
      </c>
    </row>
    <row r="41" spans="1:5" x14ac:dyDescent="0.3">
      <c r="A41" s="44" t="s">
        <v>33</v>
      </c>
      <c r="B41" s="44">
        <v>990</v>
      </c>
      <c r="C41" s="44">
        <v>882</v>
      </c>
      <c r="D41" s="45">
        <v>0.89</v>
      </c>
      <c r="E41" s="51" t="s">
        <v>46</v>
      </c>
    </row>
    <row r="42" spans="1:5" x14ac:dyDescent="0.3">
      <c r="A42" s="13" t="s">
        <v>34</v>
      </c>
      <c r="B42" s="44">
        <v>142</v>
      </c>
      <c r="C42" s="44">
        <v>90</v>
      </c>
      <c r="D42" s="45">
        <v>0.77</v>
      </c>
      <c r="E42" s="51" t="s">
        <v>46</v>
      </c>
    </row>
    <row r="43" spans="1:5" x14ac:dyDescent="0.3">
      <c r="A43" s="44" t="s">
        <v>35</v>
      </c>
      <c r="B43" s="43">
        <v>1208</v>
      </c>
      <c r="C43" s="44">
        <v>761</v>
      </c>
      <c r="D43" s="45">
        <v>0.63</v>
      </c>
      <c r="E43" s="51" t="s">
        <v>46</v>
      </c>
    </row>
    <row r="44" spans="1:5" x14ac:dyDescent="0.3">
      <c r="A44" s="44" t="s">
        <v>36</v>
      </c>
      <c r="B44" s="44">
        <v>1164</v>
      </c>
      <c r="C44" s="44">
        <v>706</v>
      </c>
      <c r="D44" s="45">
        <v>0.61</v>
      </c>
      <c r="E44" s="51" t="s">
        <v>46</v>
      </c>
    </row>
    <row r="45" spans="1:5" x14ac:dyDescent="0.3">
      <c r="A45" s="44" t="s">
        <v>64</v>
      </c>
      <c r="B45" s="44">
        <v>1168</v>
      </c>
      <c r="C45" s="44">
        <v>687</v>
      </c>
      <c r="D45" s="45">
        <v>0.59</v>
      </c>
      <c r="E45" s="51" t="s">
        <v>46</v>
      </c>
    </row>
    <row r="46" spans="1:5" x14ac:dyDescent="0.3">
      <c r="A46" s="52" t="s">
        <v>37</v>
      </c>
      <c r="B46" s="52">
        <v>445</v>
      </c>
      <c r="C46" s="52">
        <v>349</v>
      </c>
      <c r="D46" s="53">
        <v>0.78</v>
      </c>
      <c r="E46" s="51" t="s">
        <v>46</v>
      </c>
    </row>
    <row r="47" spans="1:5" x14ac:dyDescent="0.3">
      <c r="A47" s="44" t="s">
        <v>30</v>
      </c>
      <c r="B47" s="49">
        <v>6795</v>
      </c>
      <c r="C47" s="49">
        <v>4487</v>
      </c>
      <c r="D47" s="50">
        <v>0.6603</v>
      </c>
      <c r="E47" s="51" t="s">
        <v>50</v>
      </c>
    </row>
    <row r="48" spans="1:5" x14ac:dyDescent="0.3">
      <c r="A48" s="44" t="s">
        <v>31</v>
      </c>
      <c r="B48" s="44">
        <v>567</v>
      </c>
      <c r="C48" s="44">
        <v>379</v>
      </c>
      <c r="D48" s="45">
        <v>0.66839999999999999</v>
      </c>
      <c r="E48" s="51" t="s">
        <v>50</v>
      </c>
    </row>
    <row r="49" spans="1:5" x14ac:dyDescent="0.3">
      <c r="A49" s="44" t="s">
        <v>32</v>
      </c>
      <c r="B49" s="44">
        <v>17</v>
      </c>
      <c r="C49" s="44">
        <v>5</v>
      </c>
      <c r="D49" s="45">
        <v>0.29409999999999997</v>
      </c>
      <c r="E49" s="51" t="s">
        <v>50</v>
      </c>
    </row>
    <row r="50" spans="1:5" x14ac:dyDescent="0.3">
      <c r="A50" s="44" t="s">
        <v>33</v>
      </c>
      <c r="B50" s="44">
        <v>712</v>
      </c>
      <c r="C50" s="44">
        <v>627</v>
      </c>
      <c r="D50" s="45">
        <v>0.88060000000000005</v>
      </c>
      <c r="E50" s="51" t="s">
        <v>50</v>
      </c>
    </row>
    <row r="51" spans="1:5" x14ac:dyDescent="0.3">
      <c r="A51" s="13" t="s">
        <v>34</v>
      </c>
      <c r="B51" s="44">
        <v>9</v>
      </c>
      <c r="C51" s="44">
        <v>6</v>
      </c>
      <c r="D51" s="45">
        <v>0.66669999999999996</v>
      </c>
      <c r="E51" s="51" t="s">
        <v>50</v>
      </c>
    </row>
    <row r="52" spans="1:5" x14ac:dyDescent="0.3">
      <c r="A52" s="44" t="s">
        <v>35</v>
      </c>
      <c r="B52" s="43">
        <v>1206</v>
      </c>
      <c r="C52" s="44">
        <v>754</v>
      </c>
      <c r="D52" s="45">
        <v>0.62519999999999998</v>
      </c>
      <c r="E52" s="51" t="s">
        <v>50</v>
      </c>
    </row>
    <row r="53" spans="1:5" x14ac:dyDescent="0.3">
      <c r="A53" s="44" t="s">
        <v>36</v>
      </c>
      <c r="B53" s="44">
        <v>1379</v>
      </c>
      <c r="C53" s="44">
        <v>784</v>
      </c>
      <c r="D53" s="45">
        <v>0.56850000000000001</v>
      </c>
      <c r="E53" s="51" t="s">
        <v>50</v>
      </c>
    </row>
    <row r="54" spans="1:5" x14ac:dyDescent="0.3">
      <c r="A54" s="44" t="s">
        <v>64</v>
      </c>
      <c r="B54" s="44">
        <v>1034</v>
      </c>
      <c r="C54" s="44">
        <v>635</v>
      </c>
      <c r="D54" s="45">
        <v>0.61409999999999998</v>
      </c>
      <c r="E54" s="51" t="s">
        <v>50</v>
      </c>
    </row>
    <row r="55" spans="1:5" x14ac:dyDescent="0.3">
      <c r="A55" s="52" t="s">
        <v>37</v>
      </c>
      <c r="B55" s="52">
        <v>773</v>
      </c>
      <c r="C55" s="52">
        <v>597</v>
      </c>
      <c r="D55" s="53">
        <v>0.77229999999999999</v>
      </c>
      <c r="E55" s="51" t="s">
        <v>50</v>
      </c>
    </row>
    <row r="56" spans="1:5" x14ac:dyDescent="0.3">
      <c r="A56" s="44" t="s">
        <v>30</v>
      </c>
      <c r="B56" s="49">
        <v>6360</v>
      </c>
      <c r="C56" s="49">
        <v>4249</v>
      </c>
      <c r="D56" s="50">
        <v>0.67</v>
      </c>
      <c r="E56" s="51" t="s">
        <v>52</v>
      </c>
    </row>
    <row r="57" spans="1:5" x14ac:dyDescent="0.3">
      <c r="A57" s="44" t="s">
        <v>31</v>
      </c>
      <c r="B57" s="44">
        <v>752</v>
      </c>
      <c r="C57" s="44">
        <v>505</v>
      </c>
      <c r="D57" s="45">
        <v>0.67</v>
      </c>
      <c r="E57" s="51" t="s">
        <v>52</v>
      </c>
    </row>
    <row r="58" spans="1:5" x14ac:dyDescent="0.3">
      <c r="A58" s="44" t="s">
        <v>32</v>
      </c>
      <c r="B58" s="44">
        <v>27</v>
      </c>
      <c r="C58" s="44">
        <v>11</v>
      </c>
      <c r="D58" s="45">
        <v>0.41</v>
      </c>
      <c r="E58" s="51" t="s">
        <v>52</v>
      </c>
    </row>
    <row r="59" spans="1:5" x14ac:dyDescent="0.3">
      <c r="A59" s="44" t="s">
        <v>33</v>
      </c>
      <c r="B59" s="44">
        <v>956</v>
      </c>
      <c r="C59" s="44">
        <v>857</v>
      </c>
      <c r="D59" s="45">
        <v>0.9</v>
      </c>
      <c r="E59" s="51" t="s">
        <v>52</v>
      </c>
    </row>
    <row r="60" spans="1:5" x14ac:dyDescent="0.3">
      <c r="A60" s="13" t="s">
        <v>34</v>
      </c>
      <c r="B60" s="44">
        <v>71</v>
      </c>
      <c r="C60" s="44">
        <v>46</v>
      </c>
      <c r="D60" s="45">
        <v>0.65</v>
      </c>
      <c r="E60" s="51" t="s">
        <v>52</v>
      </c>
    </row>
    <row r="61" spans="1:5" x14ac:dyDescent="0.3">
      <c r="A61" s="44" t="s">
        <v>35</v>
      </c>
      <c r="B61" s="43">
        <v>927</v>
      </c>
      <c r="C61" s="44">
        <v>561</v>
      </c>
      <c r="D61" s="45">
        <v>0.61</v>
      </c>
      <c r="E61" s="51" t="s">
        <v>52</v>
      </c>
    </row>
    <row r="62" spans="1:5" x14ac:dyDescent="0.3">
      <c r="A62" s="44" t="s">
        <v>36</v>
      </c>
      <c r="B62" s="44">
        <v>1114</v>
      </c>
      <c r="C62" s="44">
        <v>648</v>
      </c>
      <c r="D62" s="45">
        <v>0.57999999999999996</v>
      </c>
      <c r="E62" s="51" t="s">
        <v>52</v>
      </c>
    </row>
    <row r="63" spans="1:5" x14ac:dyDescent="0.3">
      <c r="A63" s="44" t="s">
        <v>64</v>
      </c>
      <c r="B63" s="44">
        <v>986</v>
      </c>
      <c r="C63" s="44">
        <v>598</v>
      </c>
      <c r="D63" s="45">
        <v>0.61</v>
      </c>
      <c r="E63" s="51" t="s">
        <v>52</v>
      </c>
    </row>
    <row r="64" spans="1:5" x14ac:dyDescent="0.3">
      <c r="A64" s="52" t="s">
        <v>37</v>
      </c>
      <c r="B64" s="52">
        <v>495</v>
      </c>
      <c r="C64" s="52">
        <v>378</v>
      </c>
      <c r="D64" s="53">
        <v>0.76</v>
      </c>
      <c r="E64" s="51" t="s">
        <v>52</v>
      </c>
    </row>
    <row r="65" spans="1:5" x14ac:dyDescent="0.3">
      <c r="A65" s="44" t="s">
        <v>30</v>
      </c>
      <c r="B65" s="49">
        <v>6949</v>
      </c>
      <c r="C65" s="49">
        <v>4632</v>
      </c>
      <c r="D65" s="50">
        <v>0.66659999999999997</v>
      </c>
      <c r="E65" s="51" t="s">
        <v>54</v>
      </c>
    </row>
    <row r="66" spans="1:5" x14ac:dyDescent="0.3">
      <c r="A66" s="44" t="s">
        <v>31</v>
      </c>
      <c r="B66" s="44">
        <v>732</v>
      </c>
      <c r="C66" s="44">
        <v>509</v>
      </c>
      <c r="D66" s="45">
        <v>0.69540000000000002</v>
      </c>
      <c r="E66" s="51" t="s">
        <v>54</v>
      </c>
    </row>
    <row r="67" spans="1:5" x14ac:dyDescent="0.3">
      <c r="A67" s="44" t="s">
        <v>32</v>
      </c>
      <c r="B67" s="44">
        <v>13</v>
      </c>
      <c r="C67" s="44">
        <v>5</v>
      </c>
      <c r="D67" s="45">
        <v>0.3846</v>
      </c>
      <c r="E67" s="51" t="s">
        <v>54</v>
      </c>
    </row>
    <row r="68" spans="1:5" x14ac:dyDescent="0.3">
      <c r="A68" s="44" t="s">
        <v>33</v>
      </c>
      <c r="B68" s="44">
        <v>789</v>
      </c>
      <c r="C68" s="44">
        <v>716</v>
      </c>
      <c r="D68" s="45">
        <v>0.90749999999999997</v>
      </c>
      <c r="E68" s="51" t="s">
        <v>54</v>
      </c>
    </row>
    <row r="69" spans="1:5" x14ac:dyDescent="0.3">
      <c r="A69" s="13" t="s">
        <v>34</v>
      </c>
      <c r="B69" s="44">
        <v>51</v>
      </c>
      <c r="C69" s="44">
        <v>30</v>
      </c>
      <c r="D69" s="45">
        <v>0.58819999999999995</v>
      </c>
      <c r="E69" s="51" t="s">
        <v>54</v>
      </c>
    </row>
    <row r="70" spans="1:5" x14ac:dyDescent="0.3">
      <c r="A70" s="44" t="s">
        <v>35</v>
      </c>
      <c r="B70" s="43">
        <v>1310</v>
      </c>
      <c r="C70" s="44">
        <v>765</v>
      </c>
      <c r="D70" s="45">
        <v>0.58399999999999996</v>
      </c>
      <c r="E70" s="51" t="s">
        <v>54</v>
      </c>
    </row>
    <row r="71" spans="1:5" x14ac:dyDescent="0.3">
      <c r="A71" s="44" t="s">
        <v>36</v>
      </c>
      <c r="B71" s="44">
        <v>864</v>
      </c>
      <c r="C71" s="44">
        <v>486</v>
      </c>
      <c r="D71" s="45">
        <v>0.5625</v>
      </c>
      <c r="E71" s="51" t="s">
        <v>54</v>
      </c>
    </row>
    <row r="72" spans="1:5" x14ac:dyDescent="0.3">
      <c r="A72" s="44" t="s">
        <v>64</v>
      </c>
      <c r="B72" s="44">
        <v>1260</v>
      </c>
      <c r="C72" s="44">
        <v>775</v>
      </c>
      <c r="D72" s="45">
        <v>0.61499999999999999</v>
      </c>
      <c r="E72" s="51" t="s">
        <v>54</v>
      </c>
    </row>
    <row r="73" spans="1:5" x14ac:dyDescent="0.3">
      <c r="A73" s="52" t="s">
        <v>37</v>
      </c>
      <c r="B73" s="52">
        <v>748</v>
      </c>
      <c r="C73" s="52">
        <v>579</v>
      </c>
      <c r="D73" s="53">
        <v>0.77400000000000002</v>
      </c>
      <c r="E73" s="51" t="s">
        <v>54</v>
      </c>
    </row>
    <row r="74" spans="1:5" x14ac:dyDescent="0.3">
      <c r="A74" s="55" t="s">
        <v>30</v>
      </c>
      <c r="B74" s="56">
        <v>6195</v>
      </c>
      <c r="C74" s="56">
        <v>3199</v>
      </c>
      <c r="D74" s="57">
        <f t="shared" ref="D74:D137" si="0">SUM(C74/B74)</f>
        <v>0.51638418079096049</v>
      </c>
      <c r="E74" s="57" t="s">
        <v>56</v>
      </c>
    </row>
    <row r="75" spans="1:5" x14ac:dyDescent="0.3">
      <c r="A75" s="55" t="s">
        <v>31</v>
      </c>
      <c r="B75" s="56">
        <v>594</v>
      </c>
      <c r="C75" s="56">
        <v>315</v>
      </c>
      <c r="D75" s="57">
        <f t="shared" si="0"/>
        <v>0.53030303030303028</v>
      </c>
      <c r="E75" s="57" t="s">
        <v>56</v>
      </c>
    </row>
    <row r="76" spans="1:5" x14ac:dyDescent="0.3">
      <c r="A76" s="55" t="s">
        <v>32</v>
      </c>
      <c r="B76" s="56">
        <v>14</v>
      </c>
      <c r="C76" s="56">
        <v>7</v>
      </c>
      <c r="D76" s="57">
        <f t="shared" si="0"/>
        <v>0.5</v>
      </c>
      <c r="E76" s="57" t="s">
        <v>56</v>
      </c>
    </row>
    <row r="77" spans="1:5" x14ac:dyDescent="0.3">
      <c r="A77" s="55" t="s">
        <v>33</v>
      </c>
      <c r="B77" s="56">
        <v>529</v>
      </c>
      <c r="C77" s="56">
        <v>342</v>
      </c>
      <c r="D77" s="57">
        <f t="shared" si="0"/>
        <v>0.64650283553875232</v>
      </c>
      <c r="E77" s="57" t="s">
        <v>56</v>
      </c>
    </row>
    <row r="78" spans="1:5" x14ac:dyDescent="0.3">
      <c r="A78" s="55" t="s">
        <v>57</v>
      </c>
      <c r="B78" s="56">
        <v>21</v>
      </c>
      <c r="C78" s="56">
        <v>13</v>
      </c>
      <c r="D78" s="57">
        <f t="shared" si="0"/>
        <v>0.61904761904761907</v>
      </c>
      <c r="E78" s="57" t="s">
        <v>56</v>
      </c>
    </row>
    <row r="79" spans="1:5" x14ac:dyDescent="0.3">
      <c r="A79" s="55" t="s">
        <v>58</v>
      </c>
      <c r="B79" s="56">
        <v>137</v>
      </c>
      <c r="C79" s="56">
        <v>84</v>
      </c>
      <c r="D79" s="57">
        <f t="shared" si="0"/>
        <v>0.61313868613138689</v>
      </c>
      <c r="E79" s="57" t="s">
        <v>56</v>
      </c>
    </row>
    <row r="80" spans="1:5" x14ac:dyDescent="0.3">
      <c r="A80" s="55" t="s">
        <v>35</v>
      </c>
      <c r="B80" s="56">
        <v>1087</v>
      </c>
      <c r="C80" s="56">
        <v>527</v>
      </c>
      <c r="D80" s="57">
        <f t="shared" si="0"/>
        <v>0.48482060717571296</v>
      </c>
      <c r="E80" s="57" t="s">
        <v>56</v>
      </c>
    </row>
    <row r="81" spans="1:5" x14ac:dyDescent="0.3">
      <c r="A81" s="55" t="s">
        <v>36</v>
      </c>
      <c r="B81" s="56">
        <v>1003</v>
      </c>
      <c r="C81" s="56">
        <v>473</v>
      </c>
      <c r="D81" s="57">
        <f t="shared" si="0"/>
        <v>0.47158524426719839</v>
      </c>
      <c r="E81" s="57" t="s">
        <v>56</v>
      </c>
    </row>
    <row r="82" spans="1:5" x14ac:dyDescent="0.3">
      <c r="A82" s="55" t="s">
        <v>64</v>
      </c>
      <c r="B82" s="56">
        <v>1162</v>
      </c>
      <c r="C82" s="56">
        <v>534</v>
      </c>
      <c r="D82" s="57">
        <f t="shared" si="0"/>
        <v>0.45955249569707401</v>
      </c>
      <c r="E82" s="57" t="s">
        <v>56</v>
      </c>
    </row>
    <row r="83" spans="1:5" x14ac:dyDescent="0.3">
      <c r="A83" s="55" t="s">
        <v>59</v>
      </c>
      <c r="B83" s="56">
        <v>370</v>
      </c>
      <c r="C83" s="56">
        <v>175</v>
      </c>
      <c r="D83" s="57">
        <f t="shared" si="0"/>
        <v>0.47297297297297297</v>
      </c>
      <c r="E83" s="57" t="s">
        <v>56</v>
      </c>
    </row>
    <row r="84" spans="1:5" x14ac:dyDescent="0.3">
      <c r="A84" s="55" t="s">
        <v>60</v>
      </c>
      <c r="B84" s="56">
        <v>633</v>
      </c>
      <c r="C84" s="56">
        <v>323</v>
      </c>
      <c r="D84" s="57">
        <f t="shared" si="0"/>
        <v>0.51026856240126384</v>
      </c>
      <c r="E84" s="57" t="s">
        <v>56</v>
      </c>
    </row>
    <row r="85" spans="1:5" x14ac:dyDescent="0.3">
      <c r="A85" s="55" t="s">
        <v>37</v>
      </c>
      <c r="B85" s="56">
        <v>614</v>
      </c>
      <c r="C85" s="56">
        <v>381</v>
      </c>
      <c r="D85" s="57">
        <f t="shared" si="0"/>
        <v>0.62052117263843654</v>
      </c>
      <c r="E85" s="57" t="s">
        <v>56</v>
      </c>
    </row>
    <row r="86" spans="1:5" x14ac:dyDescent="0.3">
      <c r="A86" s="55" t="s">
        <v>61</v>
      </c>
      <c r="B86" s="56">
        <v>27</v>
      </c>
      <c r="C86" s="56">
        <v>24</v>
      </c>
      <c r="D86" s="57">
        <f t="shared" si="0"/>
        <v>0.88888888888888884</v>
      </c>
      <c r="E86" s="57" t="s">
        <v>56</v>
      </c>
    </row>
    <row r="87" spans="1:5" x14ac:dyDescent="0.3">
      <c r="A87" s="55" t="s">
        <v>62</v>
      </c>
      <c r="B87" s="56">
        <v>4</v>
      </c>
      <c r="C87" s="56">
        <v>1</v>
      </c>
      <c r="D87" s="57">
        <f t="shared" si="0"/>
        <v>0.25</v>
      </c>
      <c r="E87" s="57" t="s">
        <v>56</v>
      </c>
    </row>
    <row r="88" spans="1:5" x14ac:dyDescent="0.3">
      <c r="A88" s="55" t="s">
        <v>30</v>
      </c>
      <c r="B88" s="56">
        <v>7516</v>
      </c>
      <c r="C88" s="56">
        <v>3927</v>
      </c>
      <c r="D88" s="57">
        <f t="shared" si="0"/>
        <v>0.52248536455561467</v>
      </c>
      <c r="E88" s="57" t="s">
        <v>65</v>
      </c>
    </row>
    <row r="89" spans="1:5" x14ac:dyDescent="0.3">
      <c r="A89" s="55" t="s">
        <v>31</v>
      </c>
      <c r="B89" s="56">
        <v>649</v>
      </c>
      <c r="C89" s="56">
        <v>315</v>
      </c>
      <c r="D89" s="57">
        <f t="shared" si="0"/>
        <v>0.48536209553158705</v>
      </c>
      <c r="E89" s="57" t="s">
        <v>65</v>
      </c>
    </row>
    <row r="90" spans="1:5" x14ac:dyDescent="0.3">
      <c r="A90" s="55" t="s">
        <v>32</v>
      </c>
      <c r="B90" s="56">
        <v>30</v>
      </c>
      <c r="C90" s="56">
        <v>14</v>
      </c>
      <c r="D90" s="57">
        <f t="shared" si="0"/>
        <v>0.46666666666666667</v>
      </c>
      <c r="E90" s="57" t="s">
        <v>65</v>
      </c>
    </row>
    <row r="91" spans="1:5" x14ac:dyDescent="0.3">
      <c r="A91" s="55" t="s">
        <v>33</v>
      </c>
      <c r="B91" s="56">
        <v>691</v>
      </c>
      <c r="C91" s="56">
        <v>446</v>
      </c>
      <c r="D91" s="57">
        <f t="shared" si="0"/>
        <v>0.64544138929088279</v>
      </c>
      <c r="E91" s="57" t="s">
        <v>65</v>
      </c>
    </row>
    <row r="92" spans="1:5" x14ac:dyDescent="0.3">
      <c r="A92" s="55" t="s">
        <v>57</v>
      </c>
      <c r="B92" s="56">
        <v>176</v>
      </c>
      <c r="C92" s="56">
        <v>91</v>
      </c>
      <c r="D92" s="57">
        <f t="shared" si="0"/>
        <v>0.51704545454545459</v>
      </c>
      <c r="E92" s="57" t="s">
        <v>65</v>
      </c>
    </row>
    <row r="93" spans="1:5" x14ac:dyDescent="0.3">
      <c r="A93" s="55" t="s">
        <v>63</v>
      </c>
      <c r="B93" s="56">
        <v>108</v>
      </c>
      <c r="C93" s="56">
        <v>63</v>
      </c>
      <c r="D93" s="57">
        <f t="shared" si="0"/>
        <v>0.58333333333333337</v>
      </c>
      <c r="E93" s="57" t="s">
        <v>65</v>
      </c>
    </row>
    <row r="94" spans="1:5" x14ac:dyDescent="0.3">
      <c r="A94" s="55" t="s">
        <v>58</v>
      </c>
      <c r="B94" s="56">
        <v>113</v>
      </c>
      <c r="C94" s="56">
        <v>59</v>
      </c>
      <c r="D94" s="57">
        <f t="shared" si="0"/>
        <v>0.52212389380530977</v>
      </c>
      <c r="E94" s="57" t="s">
        <v>65</v>
      </c>
    </row>
    <row r="95" spans="1:5" x14ac:dyDescent="0.3">
      <c r="A95" s="55" t="s">
        <v>35</v>
      </c>
      <c r="B95" s="56">
        <v>1494</v>
      </c>
      <c r="C95" s="56">
        <v>741</v>
      </c>
      <c r="D95" s="57">
        <f t="shared" si="0"/>
        <v>0.49598393574297189</v>
      </c>
      <c r="E95" s="57" t="s">
        <v>65</v>
      </c>
    </row>
    <row r="96" spans="1:5" x14ac:dyDescent="0.3">
      <c r="A96" s="55" t="s">
        <v>36</v>
      </c>
      <c r="B96" s="56">
        <v>1124</v>
      </c>
      <c r="C96" s="56">
        <v>532</v>
      </c>
      <c r="D96" s="57">
        <f t="shared" si="0"/>
        <v>0.47330960854092524</v>
      </c>
      <c r="E96" s="57" t="s">
        <v>65</v>
      </c>
    </row>
    <row r="97" spans="1:6" x14ac:dyDescent="0.3">
      <c r="A97" s="55" t="s">
        <v>64</v>
      </c>
      <c r="B97" s="56">
        <v>1348</v>
      </c>
      <c r="C97" s="56">
        <v>628</v>
      </c>
      <c r="D97" s="57">
        <f t="shared" si="0"/>
        <v>0.46587537091988129</v>
      </c>
      <c r="E97" s="57" t="s">
        <v>65</v>
      </c>
    </row>
    <row r="98" spans="1:6" x14ac:dyDescent="0.3">
      <c r="A98" s="55" t="s">
        <v>59</v>
      </c>
      <c r="B98" s="56">
        <v>431</v>
      </c>
      <c r="C98" s="56">
        <v>223</v>
      </c>
      <c r="D98" s="57">
        <f t="shared" si="0"/>
        <v>0.51740139211136893</v>
      </c>
      <c r="E98" s="57" t="s">
        <v>65</v>
      </c>
    </row>
    <row r="99" spans="1:6" x14ac:dyDescent="0.3">
      <c r="A99" s="55" t="s">
        <v>60</v>
      </c>
      <c r="B99" s="56">
        <v>579</v>
      </c>
      <c r="C99" s="56">
        <v>345</v>
      </c>
      <c r="D99" s="57">
        <f t="shared" si="0"/>
        <v>0.59585492227979275</v>
      </c>
      <c r="E99" s="57" t="s">
        <v>65</v>
      </c>
    </row>
    <row r="100" spans="1:6" x14ac:dyDescent="0.3">
      <c r="A100" s="55" t="s">
        <v>37</v>
      </c>
      <c r="B100" s="56">
        <v>724</v>
      </c>
      <c r="C100" s="56">
        <v>448</v>
      </c>
      <c r="D100" s="57">
        <f t="shared" si="0"/>
        <v>0.61878453038674031</v>
      </c>
      <c r="E100" s="57" t="s">
        <v>65</v>
      </c>
    </row>
    <row r="101" spans="1:6" x14ac:dyDescent="0.3">
      <c r="A101" s="55" t="s">
        <v>61</v>
      </c>
      <c r="B101" s="56">
        <v>43</v>
      </c>
      <c r="C101" s="56">
        <v>17</v>
      </c>
      <c r="D101" s="57">
        <f t="shared" si="0"/>
        <v>0.39534883720930231</v>
      </c>
      <c r="E101" s="57" t="s">
        <v>65</v>
      </c>
    </row>
    <row r="102" spans="1:6" x14ac:dyDescent="0.3">
      <c r="A102" s="55" t="s">
        <v>62</v>
      </c>
      <c r="B102" s="56">
        <v>6</v>
      </c>
      <c r="C102" s="56">
        <v>5</v>
      </c>
      <c r="D102" s="57">
        <f t="shared" si="0"/>
        <v>0.83333333333333337</v>
      </c>
      <c r="E102" s="57" t="s">
        <v>65</v>
      </c>
    </row>
    <row r="103" spans="1:6" x14ac:dyDescent="0.3">
      <c r="A103" s="55" t="s">
        <v>30</v>
      </c>
      <c r="B103" s="56">
        <v>7401</v>
      </c>
      <c r="C103" s="56">
        <v>3851</v>
      </c>
      <c r="D103" s="57">
        <f t="shared" si="0"/>
        <v>0.52033508985272259</v>
      </c>
      <c r="E103" s="57" t="s">
        <v>66</v>
      </c>
      <c r="F103" s="57"/>
    </row>
    <row r="104" spans="1:6" x14ac:dyDescent="0.3">
      <c r="A104" s="55" t="s">
        <v>31</v>
      </c>
      <c r="B104" s="56">
        <v>562</v>
      </c>
      <c r="C104" s="56">
        <v>312</v>
      </c>
      <c r="D104" s="57">
        <f t="shared" si="0"/>
        <v>0.55516014234875444</v>
      </c>
      <c r="E104" s="57" t="s">
        <v>66</v>
      </c>
      <c r="F104" s="57"/>
    </row>
    <row r="105" spans="1:6" x14ac:dyDescent="0.3">
      <c r="A105" s="55" t="s">
        <v>32</v>
      </c>
      <c r="B105" s="56">
        <v>28</v>
      </c>
      <c r="C105" s="56">
        <v>12</v>
      </c>
      <c r="D105" s="57">
        <f t="shared" si="0"/>
        <v>0.42857142857142855</v>
      </c>
      <c r="E105" s="57" t="s">
        <v>66</v>
      </c>
      <c r="F105" s="57"/>
    </row>
    <row r="106" spans="1:6" x14ac:dyDescent="0.3">
      <c r="A106" s="55" t="s">
        <v>33</v>
      </c>
      <c r="B106" s="56">
        <v>660</v>
      </c>
      <c r="C106" s="56">
        <v>417</v>
      </c>
      <c r="D106" s="57">
        <f t="shared" si="0"/>
        <v>0.63181818181818183</v>
      </c>
      <c r="E106" s="57" t="s">
        <v>66</v>
      </c>
      <c r="F106" s="57"/>
    </row>
    <row r="107" spans="1:6" x14ac:dyDescent="0.3">
      <c r="A107" s="55" t="s">
        <v>57</v>
      </c>
      <c r="B107" s="56">
        <v>39</v>
      </c>
      <c r="C107" s="56">
        <v>19</v>
      </c>
      <c r="D107" s="57">
        <f t="shared" si="0"/>
        <v>0.48717948717948717</v>
      </c>
      <c r="E107" s="57" t="s">
        <v>66</v>
      </c>
      <c r="F107" s="57"/>
    </row>
    <row r="108" spans="1:6" x14ac:dyDescent="0.3">
      <c r="A108" s="55" t="s">
        <v>63</v>
      </c>
      <c r="B108" s="56">
        <v>65</v>
      </c>
      <c r="C108" s="56">
        <v>27</v>
      </c>
      <c r="D108" s="57">
        <f t="shared" si="0"/>
        <v>0.41538461538461541</v>
      </c>
      <c r="E108" s="57" t="s">
        <v>66</v>
      </c>
      <c r="F108" s="57"/>
    </row>
    <row r="109" spans="1:6" x14ac:dyDescent="0.3">
      <c r="A109" s="55" t="s">
        <v>58</v>
      </c>
      <c r="B109" s="56">
        <v>122</v>
      </c>
      <c r="C109" s="56">
        <v>62</v>
      </c>
      <c r="D109" s="57">
        <f t="shared" si="0"/>
        <v>0.50819672131147542</v>
      </c>
      <c r="E109" s="57" t="s">
        <v>66</v>
      </c>
      <c r="F109" s="57"/>
    </row>
    <row r="110" spans="1:6" x14ac:dyDescent="0.3">
      <c r="A110" s="55" t="s">
        <v>35</v>
      </c>
      <c r="B110" s="56">
        <v>1642</v>
      </c>
      <c r="C110" s="56">
        <v>797</v>
      </c>
      <c r="D110" s="57">
        <f t="shared" si="0"/>
        <v>0.48538367844092573</v>
      </c>
      <c r="E110" s="57" t="s">
        <v>66</v>
      </c>
      <c r="F110" s="57"/>
    </row>
    <row r="111" spans="1:6" x14ac:dyDescent="0.3">
      <c r="A111" s="55" t="s">
        <v>36</v>
      </c>
      <c r="B111" s="56">
        <v>1308</v>
      </c>
      <c r="C111" s="56">
        <v>631</v>
      </c>
      <c r="D111" s="57">
        <f t="shared" si="0"/>
        <v>0.48241590214067276</v>
      </c>
      <c r="E111" s="57" t="s">
        <v>66</v>
      </c>
      <c r="F111" s="57"/>
    </row>
    <row r="112" spans="1:6" x14ac:dyDescent="0.3">
      <c r="A112" s="55" t="s">
        <v>64</v>
      </c>
      <c r="B112" s="56">
        <v>1593</v>
      </c>
      <c r="C112" s="56">
        <v>774</v>
      </c>
      <c r="D112" s="57">
        <f t="shared" si="0"/>
        <v>0.48587570621468928</v>
      </c>
      <c r="E112" s="57" t="s">
        <v>66</v>
      </c>
      <c r="F112" s="57"/>
    </row>
    <row r="113" spans="1:6" x14ac:dyDescent="0.3">
      <c r="A113" s="55" t="s">
        <v>59</v>
      </c>
      <c r="B113" s="56">
        <v>248</v>
      </c>
      <c r="C113" s="56">
        <v>115</v>
      </c>
      <c r="D113" s="57">
        <f t="shared" si="0"/>
        <v>0.46370967741935482</v>
      </c>
      <c r="E113" s="57" t="s">
        <v>66</v>
      </c>
      <c r="F113" s="57"/>
    </row>
    <row r="114" spans="1:6" x14ac:dyDescent="0.3">
      <c r="A114" s="55" t="s">
        <v>60</v>
      </c>
      <c r="B114" s="56">
        <v>600</v>
      </c>
      <c r="C114" s="56">
        <v>350</v>
      </c>
      <c r="D114" s="57">
        <f t="shared" si="0"/>
        <v>0.58333333333333337</v>
      </c>
      <c r="E114" s="57" t="s">
        <v>66</v>
      </c>
      <c r="F114" s="57"/>
    </row>
    <row r="115" spans="1:6" x14ac:dyDescent="0.3">
      <c r="A115" s="55" t="s">
        <v>37</v>
      </c>
      <c r="B115" s="56">
        <v>506</v>
      </c>
      <c r="C115" s="56">
        <v>321</v>
      </c>
      <c r="D115" s="57">
        <f t="shared" si="0"/>
        <v>0.63438735177865613</v>
      </c>
      <c r="E115" s="57" t="s">
        <v>66</v>
      </c>
      <c r="F115" s="57"/>
    </row>
    <row r="116" spans="1:6" x14ac:dyDescent="0.3">
      <c r="A116" s="55" t="s">
        <v>61</v>
      </c>
      <c r="B116" s="56">
        <v>28</v>
      </c>
      <c r="C116" s="56">
        <v>14</v>
      </c>
      <c r="D116" s="57">
        <f t="shared" si="0"/>
        <v>0.5</v>
      </c>
      <c r="E116" s="57" t="s">
        <v>66</v>
      </c>
      <c r="F116" s="57"/>
    </row>
    <row r="117" spans="1:6" x14ac:dyDescent="0.3">
      <c r="A117" s="55" t="s">
        <v>30</v>
      </c>
      <c r="B117" s="56">
        <v>7934</v>
      </c>
      <c r="C117" s="56">
        <v>4054</v>
      </c>
      <c r="D117" s="57">
        <f t="shared" si="0"/>
        <v>0.5109654650869675</v>
      </c>
      <c r="E117" s="57" t="s">
        <v>67</v>
      </c>
      <c r="F117" s="57"/>
    </row>
    <row r="118" spans="1:6" x14ac:dyDescent="0.3">
      <c r="A118" s="55" t="s">
        <v>31</v>
      </c>
      <c r="B118" s="56">
        <v>695</v>
      </c>
      <c r="C118" s="56">
        <v>331</v>
      </c>
      <c r="D118" s="57">
        <f t="shared" si="0"/>
        <v>0.4762589928057554</v>
      </c>
      <c r="E118" s="57" t="s">
        <v>67</v>
      </c>
      <c r="F118" s="57"/>
    </row>
    <row r="119" spans="1:6" x14ac:dyDescent="0.3">
      <c r="A119" s="55" t="s">
        <v>32</v>
      </c>
      <c r="B119" s="56">
        <v>28</v>
      </c>
      <c r="C119" s="56">
        <v>10</v>
      </c>
      <c r="D119" s="57">
        <f t="shared" si="0"/>
        <v>0.35714285714285715</v>
      </c>
      <c r="E119" s="57" t="s">
        <v>67</v>
      </c>
      <c r="F119" s="57"/>
    </row>
    <row r="120" spans="1:6" x14ac:dyDescent="0.3">
      <c r="A120" s="55" t="s">
        <v>33</v>
      </c>
      <c r="B120" s="56">
        <v>903</v>
      </c>
      <c r="C120" s="56">
        <v>561</v>
      </c>
      <c r="D120" s="57">
        <f t="shared" si="0"/>
        <v>0.62126245847176076</v>
      </c>
      <c r="E120" s="57" t="s">
        <v>67</v>
      </c>
      <c r="F120" s="57"/>
    </row>
    <row r="121" spans="1:6" x14ac:dyDescent="0.3">
      <c r="A121" s="55" t="s">
        <v>57</v>
      </c>
      <c r="B121" s="56">
        <v>28</v>
      </c>
      <c r="C121" s="56">
        <v>18</v>
      </c>
      <c r="D121" s="57">
        <f t="shared" si="0"/>
        <v>0.6428571428571429</v>
      </c>
      <c r="E121" s="57" t="s">
        <v>67</v>
      </c>
      <c r="F121" s="57"/>
    </row>
    <row r="122" spans="1:6" x14ac:dyDescent="0.3">
      <c r="A122" s="55" t="s">
        <v>63</v>
      </c>
      <c r="B122" s="56">
        <v>40</v>
      </c>
      <c r="C122" s="56">
        <v>14</v>
      </c>
      <c r="D122" s="57">
        <f t="shared" si="0"/>
        <v>0.35</v>
      </c>
      <c r="E122" s="57" t="s">
        <v>67</v>
      </c>
      <c r="F122" s="57"/>
    </row>
    <row r="123" spans="1:6" x14ac:dyDescent="0.3">
      <c r="A123" s="55" t="s">
        <v>58</v>
      </c>
      <c r="B123" s="56">
        <v>110</v>
      </c>
      <c r="C123" s="56">
        <v>58</v>
      </c>
      <c r="D123" s="57">
        <f t="shared" si="0"/>
        <v>0.52727272727272723</v>
      </c>
      <c r="E123" s="57" t="s">
        <v>67</v>
      </c>
      <c r="F123" s="57"/>
    </row>
    <row r="124" spans="1:6" x14ac:dyDescent="0.3">
      <c r="A124" s="55" t="s">
        <v>35</v>
      </c>
      <c r="B124" s="56">
        <v>1671</v>
      </c>
      <c r="C124" s="56">
        <v>816</v>
      </c>
      <c r="D124" s="57">
        <f t="shared" si="0"/>
        <v>0.48833034111310591</v>
      </c>
      <c r="E124" s="57" t="s">
        <v>67</v>
      </c>
      <c r="F124" s="57"/>
    </row>
    <row r="125" spans="1:6" x14ac:dyDescent="0.3">
      <c r="A125" s="55" t="s">
        <v>36</v>
      </c>
      <c r="B125" s="56">
        <v>1432</v>
      </c>
      <c r="C125" s="56">
        <v>666</v>
      </c>
      <c r="D125" s="57">
        <f t="shared" si="0"/>
        <v>0.46508379888268159</v>
      </c>
      <c r="E125" s="57" t="s">
        <v>67</v>
      </c>
      <c r="F125" s="57"/>
    </row>
    <row r="126" spans="1:6" x14ac:dyDescent="0.3">
      <c r="A126" s="55" t="s">
        <v>64</v>
      </c>
      <c r="B126" s="56">
        <v>1435</v>
      </c>
      <c r="C126" s="56">
        <v>681</v>
      </c>
      <c r="D126" s="57">
        <f t="shared" si="0"/>
        <v>0.4745644599303136</v>
      </c>
      <c r="E126" s="57" t="s">
        <v>67</v>
      </c>
      <c r="F126" s="57"/>
    </row>
    <row r="127" spans="1:6" x14ac:dyDescent="0.3">
      <c r="A127" s="55" t="s">
        <v>59</v>
      </c>
      <c r="B127" s="56">
        <v>444</v>
      </c>
      <c r="C127" s="56">
        <v>224</v>
      </c>
      <c r="D127" s="57">
        <f t="shared" si="0"/>
        <v>0.50450450450450446</v>
      </c>
      <c r="E127" s="57" t="s">
        <v>67</v>
      </c>
      <c r="F127" s="57"/>
    </row>
    <row r="128" spans="1:6" x14ac:dyDescent="0.3">
      <c r="A128" s="55" t="s">
        <v>60</v>
      </c>
      <c r="B128" s="56">
        <v>659</v>
      </c>
      <c r="C128" s="56">
        <v>372</v>
      </c>
      <c r="D128" s="57">
        <f t="shared" si="0"/>
        <v>0.56449165402124435</v>
      </c>
      <c r="E128" s="57" t="s">
        <v>67</v>
      </c>
      <c r="F128" s="57"/>
    </row>
    <row r="129" spans="1:6" x14ac:dyDescent="0.3">
      <c r="A129" s="55" t="s">
        <v>37</v>
      </c>
      <c r="B129" s="56">
        <v>386</v>
      </c>
      <c r="C129" s="56">
        <v>244</v>
      </c>
      <c r="D129" s="57">
        <f t="shared" si="0"/>
        <v>0.63212435233160624</v>
      </c>
      <c r="E129" s="57" t="s">
        <v>67</v>
      </c>
      <c r="F129" s="57"/>
    </row>
    <row r="130" spans="1:6" x14ac:dyDescent="0.3">
      <c r="A130" s="55" t="s">
        <v>61</v>
      </c>
      <c r="B130" s="56">
        <v>27</v>
      </c>
      <c r="C130" s="56">
        <v>14</v>
      </c>
      <c r="D130" s="57">
        <f t="shared" si="0"/>
        <v>0.51851851851851849</v>
      </c>
      <c r="E130" s="57" t="s">
        <v>67</v>
      </c>
      <c r="F130" s="57"/>
    </row>
    <row r="131" spans="1:6" x14ac:dyDescent="0.3">
      <c r="A131" s="55" t="s">
        <v>62</v>
      </c>
      <c r="B131" s="56">
        <v>76</v>
      </c>
      <c r="C131" s="56">
        <v>45</v>
      </c>
      <c r="D131" s="57">
        <f t="shared" si="0"/>
        <v>0.59210526315789469</v>
      </c>
      <c r="E131" s="57" t="s">
        <v>67</v>
      </c>
      <c r="F131" s="57"/>
    </row>
    <row r="132" spans="1:6" x14ac:dyDescent="0.3">
      <c r="A132" s="13" t="s">
        <v>30</v>
      </c>
      <c r="B132" s="58">
        <v>5894</v>
      </c>
      <c r="C132" s="58">
        <v>3875</v>
      </c>
      <c r="D132" s="57">
        <f t="shared" si="0"/>
        <v>0.65744825246012895</v>
      </c>
      <c r="E132" s="57" t="s">
        <v>71</v>
      </c>
      <c r="F132" s="57"/>
    </row>
    <row r="133" spans="1:6" x14ac:dyDescent="0.3">
      <c r="A133" s="13" t="s">
        <v>31</v>
      </c>
      <c r="B133" s="13">
        <v>448</v>
      </c>
      <c r="C133" s="13">
        <v>274</v>
      </c>
      <c r="D133" s="57">
        <f t="shared" si="0"/>
        <v>0.6116071428571429</v>
      </c>
      <c r="E133" s="57" t="s">
        <v>71</v>
      </c>
      <c r="F133" s="57"/>
    </row>
    <row r="134" spans="1:6" x14ac:dyDescent="0.3">
      <c r="A134" s="13" t="s">
        <v>32</v>
      </c>
      <c r="B134" s="13">
        <v>23</v>
      </c>
      <c r="C134" s="13">
        <v>6</v>
      </c>
      <c r="D134" s="57">
        <f t="shared" si="0"/>
        <v>0.2608695652173913</v>
      </c>
      <c r="E134" s="57" t="s">
        <v>71</v>
      </c>
      <c r="F134" s="57"/>
    </row>
    <row r="135" spans="1:6" x14ac:dyDescent="0.3">
      <c r="A135" s="13" t="s">
        <v>33</v>
      </c>
      <c r="B135" s="13">
        <v>586</v>
      </c>
      <c r="C135" s="13">
        <v>536</v>
      </c>
      <c r="D135" s="57">
        <f t="shared" si="0"/>
        <v>0.91467576791808869</v>
      </c>
      <c r="E135" s="57" t="s">
        <v>71</v>
      </c>
      <c r="F135" s="57"/>
    </row>
    <row r="136" spans="1:6" x14ac:dyDescent="0.3">
      <c r="A136" s="13" t="s">
        <v>57</v>
      </c>
      <c r="B136" s="13">
        <v>46</v>
      </c>
      <c r="C136" s="13">
        <v>38</v>
      </c>
      <c r="D136" s="57">
        <f t="shared" si="0"/>
        <v>0.82608695652173914</v>
      </c>
      <c r="E136" s="57" t="s">
        <v>71</v>
      </c>
      <c r="F136" s="57"/>
    </row>
    <row r="137" spans="1:6" x14ac:dyDescent="0.3">
      <c r="A137" s="13" t="s">
        <v>58</v>
      </c>
      <c r="B137" s="13">
        <v>125</v>
      </c>
      <c r="C137" s="13">
        <v>91</v>
      </c>
      <c r="D137" s="57">
        <f t="shared" si="0"/>
        <v>0.72799999999999998</v>
      </c>
      <c r="E137" s="57" t="s">
        <v>71</v>
      </c>
      <c r="F137" s="57"/>
    </row>
    <row r="138" spans="1:6" x14ac:dyDescent="0.3">
      <c r="A138" s="13" t="s">
        <v>35</v>
      </c>
      <c r="B138" s="58">
        <v>1486</v>
      </c>
      <c r="C138" s="13">
        <v>891</v>
      </c>
      <c r="D138" s="57">
        <f t="shared" ref="D138:D201" si="1">SUM(C138/B138)</f>
        <v>0.59959623149394348</v>
      </c>
      <c r="E138" s="57" t="s">
        <v>71</v>
      </c>
      <c r="F138" s="57"/>
    </row>
    <row r="139" spans="1:6" x14ac:dyDescent="0.3">
      <c r="A139" s="13" t="s">
        <v>36</v>
      </c>
      <c r="B139" s="13">
        <v>916</v>
      </c>
      <c r="C139" s="13">
        <v>545</v>
      </c>
      <c r="D139" s="57">
        <f t="shared" si="1"/>
        <v>0.59497816593886466</v>
      </c>
      <c r="E139" s="57" t="s">
        <v>71</v>
      </c>
      <c r="F139" s="57"/>
    </row>
    <row r="140" spans="1:6" x14ac:dyDescent="0.3">
      <c r="A140" s="13" t="s">
        <v>64</v>
      </c>
      <c r="B140" s="13">
        <v>909</v>
      </c>
      <c r="C140" s="13">
        <v>561</v>
      </c>
      <c r="D140" s="57">
        <f t="shared" si="1"/>
        <v>0.61716171617161719</v>
      </c>
      <c r="E140" s="57" t="s">
        <v>71</v>
      </c>
      <c r="F140" s="57"/>
    </row>
    <row r="141" spans="1:6" x14ac:dyDescent="0.3">
      <c r="A141" s="13" t="s">
        <v>59</v>
      </c>
      <c r="B141" s="13">
        <v>303</v>
      </c>
      <c r="C141" s="13">
        <v>217</v>
      </c>
      <c r="D141" s="57">
        <f t="shared" si="1"/>
        <v>0.71617161716171618</v>
      </c>
      <c r="E141" s="57" t="s">
        <v>71</v>
      </c>
      <c r="F141" s="57"/>
    </row>
    <row r="142" spans="1:6" x14ac:dyDescent="0.3">
      <c r="A142" s="13" t="s">
        <v>60</v>
      </c>
      <c r="B142" s="13">
        <v>755</v>
      </c>
      <c r="C142" s="13">
        <v>512</v>
      </c>
      <c r="D142" s="57">
        <f t="shared" si="1"/>
        <v>0.67814569536423841</v>
      </c>
      <c r="E142" s="57" t="s">
        <v>71</v>
      </c>
      <c r="F142" s="57"/>
    </row>
    <row r="143" spans="1:6" x14ac:dyDescent="0.3">
      <c r="A143" s="13" t="s">
        <v>37</v>
      </c>
      <c r="B143" s="13">
        <v>249</v>
      </c>
      <c r="C143" s="13">
        <v>168</v>
      </c>
      <c r="D143" s="57">
        <f t="shared" si="1"/>
        <v>0.67469879518072284</v>
      </c>
      <c r="E143" s="57" t="s">
        <v>71</v>
      </c>
      <c r="F143" s="57"/>
    </row>
    <row r="144" spans="1:6" x14ac:dyDescent="0.3">
      <c r="A144" s="13" t="s">
        <v>61</v>
      </c>
      <c r="B144" s="13">
        <v>20</v>
      </c>
      <c r="C144" s="13">
        <v>18</v>
      </c>
      <c r="D144" s="57">
        <f t="shared" si="1"/>
        <v>0.9</v>
      </c>
      <c r="E144" s="57" t="s">
        <v>71</v>
      </c>
      <c r="F144" s="57"/>
    </row>
    <row r="145" spans="1:6" x14ac:dyDescent="0.3">
      <c r="A145" s="13" t="s">
        <v>62</v>
      </c>
      <c r="B145" s="13">
        <v>28</v>
      </c>
      <c r="C145" s="13">
        <v>18</v>
      </c>
      <c r="D145" s="57">
        <f t="shared" si="1"/>
        <v>0.6428571428571429</v>
      </c>
      <c r="E145" s="57" t="s">
        <v>71</v>
      </c>
      <c r="F145" s="57"/>
    </row>
    <row r="146" spans="1:6" x14ac:dyDescent="0.3">
      <c r="A146" s="13" t="s">
        <v>30</v>
      </c>
      <c r="B146" s="58">
        <v>5897</v>
      </c>
      <c r="C146" s="58">
        <v>3149</v>
      </c>
      <c r="D146" s="57">
        <f t="shared" si="1"/>
        <v>0.53400033915550282</v>
      </c>
      <c r="E146" s="59" t="s">
        <v>68</v>
      </c>
    </row>
    <row r="147" spans="1:6" x14ac:dyDescent="0.3">
      <c r="A147" s="13" t="s">
        <v>31</v>
      </c>
      <c r="B147" s="13">
        <v>450</v>
      </c>
      <c r="C147" s="13">
        <v>218</v>
      </c>
      <c r="D147" s="57">
        <f t="shared" si="1"/>
        <v>0.48444444444444446</v>
      </c>
      <c r="E147" s="59" t="s">
        <v>68</v>
      </c>
    </row>
    <row r="148" spans="1:6" x14ac:dyDescent="0.3">
      <c r="A148" s="13" t="s">
        <v>32</v>
      </c>
      <c r="B148" s="13">
        <v>23</v>
      </c>
      <c r="C148" s="13">
        <v>4</v>
      </c>
      <c r="D148" s="57">
        <f t="shared" si="1"/>
        <v>0.17391304347826086</v>
      </c>
      <c r="E148" s="59" t="s">
        <v>68</v>
      </c>
    </row>
    <row r="149" spans="1:6" x14ac:dyDescent="0.3">
      <c r="A149" s="13" t="s">
        <v>33</v>
      </c>
      <c r="B149" s="13">
        <v>586</v>
      </c>
      <c r="C149" s="13">
        <v>390</v>
      </c>
      <c r="D149" s="57">
        <f t="shared" si="1"/>
        <v>0.66552901023890787</v>
      </c>
      <c r="E149" s="59" t="s">
        <v>68</v>
      </c>
    </row>
    <row r="150" spans="1:6" x14ac:dyDescent="0.3">
      <c r="A150" s="13" t="s">
        <v>57</v>
      </c>
      <c r="B150" s="13">
        <v>46</v>
      </c>
      <c r="C150" s="13">
        <v>28</v>
      </c>
      <c r="D150" s="57">
        <f t="shared" si="1"/>
        <v>0.60869565217391308</v>
      </c>
      <c r="E150" s="59" t="s">
        <v>68</v>
      </c>
    </row>
    <row r="151" spans="1:6" x14ac:dyDescent="0.3">
      <c r="A151" s="13" t="s">
        <v>58</v>
      </c>
      <c r="B151" s="13">
        <v>125</v>
      </c>
      <c r="C151" s="13">
        <v>77</v>
      </c>
      <c r="D151" s="57">
        <f t="shared" si="1"/>
        <v>0.61599999999999999</v>
      </c>
      <c r="E151" s="59" t="s">
        <v>68</v>
      </c>
    </row>
    <row r="152" spans="1:6" x14ac:dyDescent="0.3">
      <c r="A152" s="13" t="s">
        <v>35</v>
      </c>
      <c r="B152" s="58">
        <v>1486</v>
      </c>
      <c r="C152" s="13">
        <v>714</v>
      </c>
      <c r="D152" s="57">
        <f t="shared" si="1"/>
        <v>0.48048452220726784</v>
      </c>
      <c r="E152" s="59" t="s">
        <v>68</v>
      </c>
    </row>
    <row r="153" spans="1:6" x14ac:dyDescent="0.3">
      <c r="A153" s="13" t="s">
        <v>36</v>
      </c>
      <c r="B153" s="13">
        <v>916</v>
      </c>
      <c r="C153" s="13">
        <v>458</v>
      </c>
      <c r="D153" s="57">
        <f t="shared" si="1"/>
        <v>0.5</v>
      </c>
      <c r="E153" s="59" t="s">
        <v>68</v>
      </c>
    </row>
    <row r="154" spans="1:6" x14ac:dyDescent="0.3">
      <c r="A154" s="13" t="s">
        <v>64</v>
      </c>
      <c r="B154" s="13">
        <v>910</v>
      </c>
      <c r="C154" s="13">
        <v>463</v>
      </c>
      <c r="D154" s="57">
        <f t="shared" si="1"/>
        <v>0.50879120879120876</v>
      </c>
      <c r="E154" s="59" t="s">
        <v>68</v>
      </c>
    </row>
    <row r="155" spans="1:6" x14ac:dyDescent="0.3">
      <c r="A155" s="13" t="s">
        <v>59</v>
      </c>
      <c r="B155" s="13">
        <v>303</v>
      </c>
      <c r="C155" s="13">
        <v>173</v>
      </c>
      <c r="D155" s="57">
        <f t="shared" si="1"/>
        <v>0.57095709570957098</v>
      </c>
      <c r="E155" s="59" t="s">
        <v>68</v>
      </c>
    </row>
    <row r="156" spans="1:6" x14ac:dyDescent="0.3">
      <c r="A156" s="13" t="s">
        <v>60</v>
      </c>
      <c r="B156" s="13">
        <v>755</v>
      </c>
      <c r="C156" s="13">
        <v>453</v>
      </c>
      <c r="D156" s="57">
        <f t="shared" si="1"/>
        <v>0.6</v>
      </c>
      <c r="E156" s="59" t="s">
        <v>68</v>
      </c>
    </row>
    <row r="157" spans="1:6" x14ac:dyDescent="0.3">
      <c r="A157" s="13" t="s">
        <v>37</v>
      </c>
      <c r="B157" s="13">
        <v>249</v>
      </c>
      <c r="C157" s="13">
        <v>141</v>
      </c>
      <c r="D157" s="57">
        <f t="shared" si="1"/>
        <v>0.5662650602409639</v>
      </c>
      <c r="E157" s="59" t="s">
        <v>68</v>
      </c>
    </row>
    <row r="158" spans="1:6" x14ac:dyDescent="0.3">
      <c r="A158" s="13" t="s">
        <v>61</v>
      </c>
      <c r="B158" s="13">
        <v>20</v>
      </c>
      <c r="C158" s="13">
        <v>17</v>
      </c>
      <c r="D158" s="57">
        <f t="shared" si="1"/>
        <v>0.85</v>
      </c>
      <c r="E158" s="59" t="s">
        <v>68</v>
      </c>
    </row>
    <row r="159" spans="1:6" x14ac:dyDescent="0.3">
      <c r="A159" s="13" t="s">
        <v>62</v>
      </c>
      <c r="B159" s="13">
        <v>28</v>
      </c>
      <c r="C159" s="13">
        <v>13</v>
      </c>
      <c r="D159" s="57">
        <f t="shared" si="1"/>
        <v>0.4642857142857143</v>
      </c>
      <c r="E159" s="59" t="s">
        <v>68</v>
      </c>
    </row>
    <row r="160" spans="1:6" x14ac:dyDescent="0.3">
      <c r="A160" s="13" t="s">
        <v>30</v>
      </c>
      <c r="B160" s="58">
        <v>7533</v>
      </c>
      <c r="C160" s="58">
        <v>4054</v>
      </c>
      <c r="D160" s="57">
        <f t="shared" si="1"/>
        <v>0.53816540554891812</v>
      </c>
      <c r="E160" s="59" t="s">
        <v>70</v>
      </c>
      <c r="F160" s="60"/>
    </row>
    <row r="161" spans="1:6" x14ac:dyDescent="0.3">
      <c r="A161" s="13" t="s">
        <v>31</v>
      </c>
      <c r="B161" s="13">
        <v>638</v>
      </c>
      <c r="C161" s="13">
        <v>335</v>
      </c>
      <c r="D161" s="57">
        <f t="shared" si="1"/>
        <v>0.52507836990595613</v>
      </c>
      <c r="E161" s="59" t="s">
        <v>70</v>
      </c>
      <c r="F161" s="60"/>
    </row>
    <row r="162" spans="1:6" x14ac:dyDescent="0.3">
      <c r="A162" s="13" t="s">
        <v>32</v>
      </c>
      <c r="B162" s="13">
        <v>32</v>
      </c>
      <c r="C162" s="13">
        <v>14</v>
      </c>
      <c r="D162" s="57">
        <f t="shared" si="1"/>
        <v>0.4375</v>
      </c>
      <c r="E162" s="59" t="s">
        <v>70</v>
      </c>
      <c r="F162" s="60"/>
    </row>
    <row r="163" spans="1:6" x14ac:dyDescent="0.3">
      <c r="A163" s="13" t="s">
        <v>33</v>
      </c>
      <c r="B163" s="13">
        <v>979</v>
      </c>
      <c r="C163" s="13">
        <v>638</v>
      </c>
      <c r="D163" s="57">
        <f t="shared" si="1"/>
        <v>0.651685393258427</v>
      </c>
      <c r="E163" s="59" t="s">
        <v>70</v>
      </c>
      <c r="F163" s="60"/>
    </row>
    <row r="164" spans="1:6" x14ac:dyDescent="0.3">
      <c r="A164" s="13" t="s">
        <v>57</v>
      </c>
      <c r="B164" s="13">
        <v>11</v>
      </c>
      <c r="C164" s="13">
        <v>8</v>
      </c>
      <c r="D164" s="57">
        <f t="shared" si="1"/>
        <v>0.72727272727272729</v>
      </c>
      <c r="E164" s="59" t="s">
        <v>70</v>
      </c>
      <c r="F164" s="60"/>
    </row>
    <row r="165" spans="1:6" x14ac:dyDescent="0.3">
      <c r="A165" s="13" t="s">
        <v>58</v>
      </c>
      <c r="B165" s="13">
        <v>109</v>
      </c>
      <c r="C165" s="13">
        <v>84</v>
      </c>
      <c r="D165" s="57">
        <f t="shared" si="1"/>
        <v>0.77064220183486243</v>
      </c>
      <c r="E165" s="59" t="s">
        <v>70</v>
      </c>
      <c r="F165" s="60"/>
    </row>
    <row r="166" spans="1:6" x14ac:dyDescent="0.3">
      <c r="A166" s="13" t="s">
        <v>35</v>
      </c>
      <c r="B166" s="58">
        <v>1413</v>
      </c>
      <c r="C166" s="13">
        <v>696</v>
      </c>
      <c r="D166" s="57">
        <f t="shared" si="1"/>
        <v>0.49256900212314225</v>
      </c>
      <c r="E166" s="59" t="s">
        <v>70</v>
      </c>
      <c r="F166" s="60"/>
    </row>
    <row r="167" spans="1:6" x14ac:dyDescent="0.3">
      <c r="A167" s="13" t="s">
        <v>36</v>
      </c>
      <c r="B167" s="58">
        <v>1136</v>
      </c>
      <c r="C167" s="13">
        <v>590</v>
      </c>
      <c r="D167" s="57">
        <f t="shared" si="1"/>
        <v>0.51936619718309862</v>
      </c>
      <c r="E167" s="59" t="s">
        <v>70</v>
      </c>
      <c r="F167" s="60"/>
    </row>
    <row r="168" spans="1:6" x14ac:dyDescent="0.3">
      <c r="A168" s="13" t="s">
        <v>64</v>
      </c>
      <c r="B168" s="58">
        <v>1595</v>
      </c>
      <c r="C168" s="13">
        <v>758</v>
      </c>
      <c r="D168" s="57">
        <f t="shared" si="1"/>
        <v>0.47523510971786836</v>
      </c>
      <c r="E168" s="59" t="s">
        <v>70</v>
      </c>
      <c r="F168" s="60"/>
    </row>
    <row r="169" spans="1:6" x14ac:dyDescent="0.3">
      <c r="A169" s="13" t="s">
        <v>69</v>
      </c>
      <c r="B169" s="13">
        <v>42</v>
      </c>
      <c r="C169" s="13">
        <v>24</v>
      </c>
      <c r="D169" s="57">
        <f t="shared" si="1"/>
        <v>0.5714285714285714</v>
      </c>
      <c r="E169" s="59" t="s">
        <v>70</v>
      </c>
      <c r="F169" s="60"/>
    </row>
    <row r="170" spans="1:6" x14ac:dyDescent="0.3">
      <c r="A170" s="13" t="s">
        <v>59</v>
      </c>
      <c r="B170" s="13">
        <v>320</v>
      </c>
      <c r="C170" s="13">
        <v>175</v>
      </c>
      <c r="D170" s="57">
        <f t="shared" si="1"/>
        <v>0.546875</v>
      </c>
      <c r="E170" s="59" t="s">
        <v>70</v>
      </c>
      <c r="F170" s="60"/>
    </row>
    <row r="171" spans="1:6" x14ac:dyDescent="0.3">
      <c r="A171" s="13" t="s">
        <v>60</v>
      </c>
      <c r="B171" s="13">
        <v>679</v>
      </c>
      <c r="C171" s="13">
        <v>398</v>
      </c>
      <c r="D171" s="57">
        <f t="shared" si="1"/>
        <v>0.58615611192930783</v>
      </c>
      <c r="E171" s="59" t="s">
        <v>70</v>
      </c>
      <c r="F171" s="60"/>
    </row>
    <row r="172" spans="1:6" x14ac:dyDescent="0.3">
      <c r="A172" s="13" t="s">
        <v>37</v>
      </c>
      <c r="B172" s="13">
        <v>535</v>
      </c>
      <c r="C172" s="13">
        <v>309</v>
      </c>
      <c r="D172" s="57">
        <f t="shared" si="1"/>
        <v>0.57757009345794397</v>
      </c>
      <c r="E172" s="59" t="s">
        <v>70</v>
      </c>
      <c r="F172" s="60"/>
    </row>
    <row r="173" spans="1:6" x14ac:dyDescent="0.3">
      <c r="A173" s="13" t="s">
        <v>61</v>
      </c>
      <c r="B173" s="13">
        <v>31</v>
      </c>
      <c r="C173" s="13">
        <v>16</v>
      </c>
      <c r="D173" s="57">
        <f t="shared" si="1"/>
        <v>0.5161290322580645</v>
      </c>
      <c r="E173" s="59" t="s">
        <v>70</v>
      </c>
      <c r="F173" s="60"/>
    </row>
    <row r="174" spans="1:6" x14ac:dyDescent="0.3">
      <c r="A174" s="55" t="s">
        <v>30</v>
      </c>
      <c r="B174" s="56">
        <v>7213</v>
      </c>
      <c r="C174" s="56">
        <v>4872</v>
      </c>
      <c r="D174" s="57">
        <f t="shared" si="1"/>
        <v>0.67544710938583119</v>
      </c>
      <c r="E174" s="56" t="s">
        <v>72</v>
      </c>
      <c r="F174" s="57"/>
    </row>
    <row r="175" spans="1:6" x14ac:dyDescent="0.3">
      <c r="A175" s="55" t="s">
        <v>31</v>
      </c>
      <c r="B175" s="56">
        <v>496</v>
      </c>
      <c r="C175" s="56">
        <v>344</v>
      </c>
      <c r="D175" s="57">
        <f t="shared" si="1"/>
        <v>0.69354838709677424</v>
      </c>
      <c r="E175" s="56" t="s">
        <v>72</v>
      </c>
      <c r="F175" s="57"/>
    </row>
    <row r="176" spans="1:6" x14ac:dyDescent="0.3">
      <c r="A176" s="55" t="s">
        <v>32</v>
      </c>
      <c r="B176" s="56">
        <v>39</v>
      </c>
      <c r="C176" s="56">
        <v>25</v>
      </c>
      <c r="D176" s="57">
        <f t="shared" si="1"/>
        <v>0.64102564102564108</v>
      </c>
      <c r="E176" s="56" t="s">
        <v>72</v>
      </c>
      <c r="F176" s="57"/>
    </row>
    <row r="177" spans="1:6" x14ac:dyDescent="0.3">
      <c r="A177" s="55" t="s">
        <v>33</v>
      </c>
      <c r="B177" s="56">
        <v>840</v>
      </c>
      <c r="C177" s="56">
        <v>764</v>
      </c>
      <c r="D177" s="57">
        <f t="shared" si="1"/>
        <v>0.90952380952380951</v>
      </c>
      <c r="E177" s="56" t="s">
        <v>72</v>
      </c>
      <c r="F177" s="57"/>
    </row>
    <row r="178" spans="1:6" x14ac:dyDescent="0.3">
      <c r="A178" s="55" t="s">
        <v>57</v>
      </c>
      <c r="B178" s="56">
        <v>31</v>
      </c>
      <c r="C178" s="56">
        <v>20</v>
      </c>
      <c r="D178" s="57">
        <f t="shared" si="1"/>
        <v>0.64516129032258063</v>
      </c>
      <c r="E178" s="56" t="s">
        <v>72</v>
      </c>
      <c r="F178" s="57"/>
    </row>
    <row r="179" spans="1:6" x14ac:dyDescent="0.3">
      <c r="A179" s="55" t="s">
        <v>58</v>
      </c>
      <c r="B179" s="56">
        <v>156</v>
      </c>
      <c r="C179" s="56">
        <v>117</v>
      </c>
      <c r="D179" s="57">
        <f t="shared" si="1"/>
        <v>0.75</v>
      </c>
      <c r="E179" s="56" t="s">
        <v>72</v>
      </c>
      <c r="F179" s="57"/>
    </row>
    <row r="180" spans="1:6" x14ac:dyDescent="0.3">
      <c r="A180" s="55" t="s">
        <v>35</v>
      </c>
      <c r="B180" s="56">
        <v>1627</v>
      </c>
      <c r="C180" s="56">
        <v>985</v>
      </c>
      <c r="D180" s="57">
        <f t="shared" si="1"/>
        <v>0.60540872771972953</v>
      </c>
      <c r="E180" s="56" t="s">
        <v>72</v>
      </c>
      <c r="F180" s="57"/>
    </row>
    <row r="181" spans="1:6" x14ac:dyDescent="0.3">
      <c r="A181" s="55" t="s">
        <v>36</v>
      </c>
      <c r="B181" s="56">
        <v>1043</v>
      </c>
      <c r="C181" s="56">
        <v>661</v>
      </c>
      <c r="D181" s="57">
        <f t="shared" si="1"/>
        <v>0.63374880153403645</v>
      </c>
      <c r="E181" s="56" t="s">
        <v>72</v>
      </c>
      <c r="F181" s="57"/>
    </row>
    <row r="182" spans="1:6" x14ac:dyDescent="0.3">
      <c r="A182" s="55" t="s">
        <v>64</v>
      </c>
      <c r="B182" s="56">
        <v>1273</v>
      </c>
      <c r="C182" s="56">
        <v>780</v>
      </c>
      <c r="D182" s="57">
        <f t="shared" si="1"/>
        <v>0.61272584446190104</v>
      </c>
      <c r="E182" s="56" t="s">
        <v>72</v>
      </c>
      <c r="F182" s="57"/>
    </row>
    <row r="183" spans="1:6" x14ac:dyDescent="0.3">
      <c r="A183" s="55" t="s">
        <v>69</v>
      </c>
      <c r="B183" s="56">
        <v>3</v>
      </c>
      <c r="C183" s="56">
        <v>2</v>
      </c>
      <c r="D183" s="57">
        <f t="shared" si="1"/>
        <v>0.66666666666666663</v>
      </c>
      <c r="E183" s="56" t="s">
        <v>72</v>
      </c>
      <c r="F183"/>
    </row>
    <row r="184" spans="1:6" x14ac:dyDescent="0.3">
      <c r="A184" s="55" t="s">
        <v>59</v>
      </c>
      <c r="B184" s="56">
        <v>397</v>
      </c>
      <c r="C184" s="56">
        <v>255</v>
      </c>
      <c r="D184" s="57">
        <f t="shared" si="1"/>
        <v>0.64231738035264485</v>
      </c>
      <c r="E184" s="56" t="s">
        <v>72</v>
      </c>
      <c r="F184" s="57"/>
    </row>
    <row r="185" spans="1:6" x14ac:dyDescent="0.3">
      <c r="A185" s="55" t="s">
        <v>60</v>
      </c>
      <c r="B185" s="56">
        <v>696</v>
      </c>
      <c r="C185" s="56">
        <v>482</v>
      </c>
      <c r="D185" s="57">
        <f t="shared" si="1"/>
        <v>0.69252873563218387</v>
      </c>
      <c r="E185" s="56" t="s">
        <v>72</v>
      </c>
      <c r="F185" s="57"/>
    </row>
    <row r="186" spans="1:6" x14ac:dyDescent="0.3">
      <c r="A186" s="55" t="s">
        <v>37</v>
      </c>
      <c r="B186" s="56">
        <v>591</v>
      </c>
      <c r="C186" s="56">
        <v>421</v>
      </c>
      <c r="D186" s="57">
        <f t="shared" si="1"/>
        <v>0.71235194585448391</v>
      </c>
      <c r="E186" s="56" t="s">
        <v>72</v>
      </c>
      <c r="F186" s="57"/>
    </row>
    <row r="187" spans="1:6" x14ac:dyDescent="0.3">
      <c r="A187" s="55" t="s">
        <v>61</v>
      </c>
      <c r="B187" s="56">
        <v>21</v>
      </c>
      <c r="C187" s="56">
        <v>16</v>
      </c>
      <c r="D187" s="57">
        <f t="shared" si="1"/>
        <v>0.76190476190476186</v>
      </c>
      <c r="E187" s="56" t="s">
        <v>72</v>
      </c>
      <c r="F187" s="57"/>
    </row>
    <row r="188" spans="1:6" x14ac:dyDescent="0.3">
      <c r="A188" s="55" t="s">
        <v>31</v>
      </c>
      <c r="B188" s="56">
        <v>589</v>
      </c>
      <c r="C188" s="56">
        <v>391</v>
      </c>
      <c r="D188" s="57">
        <f t="shared" si="1"/>
        <v>0.66383701188455013</v>
      </c>
      <c r="E188" s="56" t="s">
        <v>73</v>
      </c>
      <c r="F188" s="57"/>
    </row>
    <row r="189" spans="1:6" x14ac:dyDescent="0.3">
      <c r="A189" s="55" t="s">
        <v>30</v>
      </c>
      <c r="B189" s="56">
        <v>7167</v>
      </c>
      <c r="C189" s="56">
        <v>4687</v>
      </c>
      <c r="D189" s="57">
        <f t="shared" si="1"/>
        <v>0.65396958281010187</v>
      </c>
      <c r="E189" s="56" t="s">
        <v>73</v>
      </c>
      <c r="F189" s="57"/>
    </row>
    <row r="190" spans="1:6" x14ac:dyDescent="0.3">
      <c r="A190" s="55" t="s">
        <v>32</v>
      </c>
      <c r="B190" s="56">
        <v>48</v>
      </c>
      <c r="C190" s="56">
        <v>27</v>
      </c>
      <c r="D190" s="57">
        <f t="shared" si="1"/>
        <v>0.5625</v>
      </c>
      <c r="E190" s="56" t="s">
        <v>73</v>
      </c>
      <c r="F190" s="57"/>
    </row>
    <row r="191" spans="1:6" x14ac:dyDescent="0.3">
      <c r="A191" s="55" t="s">
        <v>33</v>
      </c>
      <c r="B191" s="56">
        <v>784</v>
      </c>
      <c r="C191" s="56">
        <v>708</v>
      </c>
      <c r="D191" s="57">
        <f t="shared" si="1"/>
        <v>0.90306122448979587</v>
      </c>
      <c r="E191" s="56" t="s">
        <v>73</v>
      </c>
      <c r="F191" s="57"/>
    </row>
    <row r="192" spans="1:6" x14ac:dyDescent="0.3">
      <c r="A192" s="55" t="s">
        <v>57</v>
      </c>
      <c r="B192" s="56">
        <v>48</v>
      </c>
      <c r="C192" s="56">
        <v>26</v>
      </c>
      <c r="D192" s="57">
        <f t="shared" si="1"/>
        <v>0.54166666666666663</v>
      </c>
      <c r="E192" s="56" t="s">
        <v>73</v>
      </c>
      <c r="F192" s="57"/>
    </row>
    <row r="193" spans="1:6" x14ac:dyDescent="0.3">
      <c r="A193" s="55" t="s">
        <v>63</v>
      </c>
      <c r="B193" s="56">
        <v>76</v>
      </c>
      <c r="C193" s="56">
        <v>53</v>
      </c>
      <c r="D193" s="57">
        <f t="shared" si="1"/>
        <v>0.69736842105263153</v>
      </c>
      <c r="E193" s="56" t="s">
        <v>73</v>
      </c>
      <c r="F193" s="57"/>
    </row>
    <row r="194" spans="1:6" x14ac:dyDescent="0.3">
      <c r="A194" s="55" t="s">
        <v>58</v>
      </c>
      <c r="B194" s="56">
        <v>126</v>
      </c>
      <c r="C194" s="56">
        <v>92</v>
      </c>
      <c r="D194" s="57">
        <f t="shared" si="1"/>
        <v>0.73015873015873012</v>
      </c>
      <c r="E194" s="56" t="s">
        <v>73</v>
      </c>
      <c r="F194" s="57"/>
    </row>
    <row r="195" spans="1:6" x14ac:dyDescent="0.3">
      <c r="A195" s="55" t="s">
        <v>35</v>
      </c>
      <c r="B195" s="56">
        <v>1531</v>
      </c>
      <c r="C195" s="56">
        <v>938</v>
      </c>
      <c r="D195" s="57">
        <f t="shared" si="1"/>
        <v>0.61267145656433708</v>
      </c>
      <c r="E195" s="56" t="s">
        <v>73</v>
      </c>
      <c r="F195" s="57"/>
    </row>
    <row r="196" spans="1:6" x14ac:dyDescent="0.3">
      <c r="A196" s="55" t="s">
        <v>36</v>
      </c>
      <c r="B196" s="56">
        <v>1209</v>
      </c>
      <c r="C196" s="56">
        <v>691</v>
      </c>
      <c r="D196" s="57">
        <f t="shared" si="1"/>
        <v>0.57154673283705537</v>
      </c>
      <c r="E196" s="56" t="s">
        <v>73</v>
      </c>
      <c r="F196" s="57"/>
    </row>
    <row r="197" spans="1:6" x14ac:dyDescent="0.3">
      <c r="A197" s="55" t="s">
        <v>64</v>
      </c>
      <c r="B197" s="56">
        <v>1238</v>
      </c>
      <c r="C197" s="56">
        <v>732</v>
      </c>
      <c r="D197" s="57">
        <f t="shared" si="1"/>
        <v>0.59127625201938616</v>
      </c>
      <c r="E197" s="56" t="s">
        <v>73</v>
      </c>
      <c r="F197" s="57"/>
    </row>
    <row r="198" spans="1:6" x14ac:dyDescent="0.3">
      <c r="A198" s="55" t="s">
        <v>59</v>
      </c>
      <c r="B198" s="56">
        <v>199</v>
      </c>
      <c r="C198" s="56">
        <v>125</v>
      </c>
      <c r="D198" s="57">
        <f t="shared" si="1"/>
        <v>0.62814070351758799</v>
      </c>
      <c r="E198" s="56" t="s">
        <v>73</v>
      </c>
      <c r="F198" s="57"/>
    </row>
    <row r="199" spans="1:6" x14ac:dyDescent="0.3">
      <c r="A199" s="55" t="s">
        <v>60</v>
      </c>
      <c r="B199" s="56">
        <v>700</v>
      </c>
      <c r="C199" s="56">
        <v>471</v>
      </c>
      <c r="D199" s="57">
        <f t="shared" si="1"/>
        <v>0.67285714285714282</v>
      </c>
      <c r="E199" s="56" t="s">
        <v>73</v>
      </c>
      <c r="F199" s="57"/>
    </row>
    <row r="200" spans="1:6" x14ac:dyDescent="0.3">
      <c r="A200" s="55" t="s">
        <v>37</v>
      </c>
      <c r="B200" s="56">
        <v>574</v>
      </c>
      <c r="C200" s="56">
        <v>401</v>
      </c>
      <c r="D200" s="57">
        <f t="shared" si="1"/>
        <v>0.69860627177700352</v>
      </c>
      <c r="E200" s="56" t="s">
        <v>73</v>
      </c>
      <c r="F200" s="57"/>
    </row>
    <row r="201" spans="1:6" x14ac:dyDescent="0.3">
      <c r="A201" s="55" t="s">
        <v>61</v>
      </c>
      <c r="B201" s="56">
        <v>23</v>
      </c>
      <c r="C201" s="56">
        <v>21</v>
      </c>
      <c r="D201" s="57">
        <f t="shared" si="1"/>
        <v>0.91304347826086951</v>
      </c>
      <c r="E201" s="56" t="s">
        <v>73</v>
      </c>
      <c r="F201" s="57"/>
    </row>
    <row r="202" spans="1:6" x14ac:dyDescent="0.3">
      <c r="A202" s="55" t="s">
        <v>62</v>
      </c>
      <c r="B202" s="56">
        <v>22</v>
      </c>
      <c r="C202" s="56">
        <v>11</v>
      </c>
      <c r="D202" s="57">
        <f t="shared" ref="D202:D265" si="2">SUM(C202/B202)</f>
        <v>0.5</v>
      </c>
      <c r="E202" s="56" t="s">
        <v>73</v>
      </c>
      <c r="F202" s="57"/>
    </row>
    <row r="203" spans="1:6" x14ac:dyDescent="0.3">
      <c r="A203" s="55" t="s">
        <v>30</v>
      </c>
      <c r="B203" s="56">
        <v>6209</v>
      </c>
      <c r="C203" s="56">
        <v>3245</v>
      </c>
      <c r="D203" s="57">
        <f t="shared" si="2"/>
        <v>0.52262844258334673</v>
      </c>
      <c r="E203" s="56" t="s">
        <v>74</v>
      </c>
      <c r="F203" s="57"/>
    </row>
    <row r="204" spans="1:6" x14ac:dyDescent="0.3">
      <c r="A204" s="55" t="s">
        <v>31</v>
      </c>
      <c r="B204" s="56">
        <v>324</v>
      </c>
      <c r="C204" s="56">
        <v>189</v>
      </c>
      <c r="D204" s="57">
        <f t="shared" si="2"/>
        <v>0.58333333333333337</v>
      </c>
      <c r="E204" s="56" t="s">
        <v>74</v>
      </c>
      <c r="F204" s="57"/>
    </row>
    <row r="205" spans="1:6" x14ac:dyDescent="0.3">
      <c r="A205" s="55" t="s">
        <v>32</v>
      </c>
      <c r="B205" s="56">
        <v>46</v>
      </c>
      <c r="C205" s="56">
        <v>15</v>
      </c>
      <c r="D205" s="57">
        <f t="shared" si="2"/>
        <v>0.32608695652173914</v>
      </c>
      <c r="E205" s="56" t="s">
        <v>74</v>
      </c>
      <c r="F205" s="57"/>
    </row>
    <row r="206" spans="1:6" x14ac:dyDescent="0.3">
      <c r="A206" s="55" t="s">
        <v>33</v>
      </c>
      <c r="B206" s="56">
        <v>623</v>
      </c>
      <c r="C206" s="56">
        <v>404</v>
      </c>
      <c r="D206" s="57">
        <f t="shared" si="2"/>
        <v>0.6484751203852327</v>
      </c>
      <c r="E206" s="56" t="s">
        <v>74</v>
      </c>
      <c r="F206" s="57"/>
    </row>
    <row r="207" spans="1:6" x14ac:dyDescent="0.3">
      <c r="A207" s="55" t="s">
        <v>57</v>
      </c>
      <c r="B207" s="56">
        <v>79</v>
      </c>
      <c r="C207" s="56">
        <v>39</v>
      </c>
      <c r="D207" s="57">
        <f t="shared" si="2"/>
        <v>0.49367088607594939</v>
      </c>
      <c r="E207" s="56" t="s">
        <v>74</v>
      </c>
      <c r="F207" s="57"/>
    </row>
    <row r="208" spans="1:6" x14ac:dyDescent="0.3">
      <c r="A208" s="55" t="s">
        <v>58</v>
      </c>
      <c r="B208" s="56">
        <v>83</v>
      </c>
      <c r="C208" s="56">
        <v>50</v>
      </c>
      <c r="D208" s="57">
        <f t="shared" si="2"/>
        <v>0.60240963855421692</v>
      </c>
      <c r="E208" s="56" t="s">
        <v>74</v>
      </c>
      <c r="F208" s="57"/>
    </row>
    <row r="209" spans="1:6" x14ac:dyDescent="0.3">
      <c r="A209" s="55" t="s">
        <v>35</v>
      </c>
      <c r="B209" s="56">
        <v>1429</v>
      </c>
      <c r="C209" s="56">
        <v>680</v>
      </c>
      <c r="D209" s="57">
        <f t="shared" si="2"/>
        <v>0.47585724282715186</v>
      </c>
      <c r="E209" s="56" t="s">
        <v>74</v>
      </c>
      <c r="F209" s="57"/>
    </row>
    <row r="210" spans="1:6" x14ac:dyDescent="0.3">
      <c r="A210" s="55" t="s">
        <v>36</v>
      </c>
      <c r="B210" s="56">
        <v>1033</v>
      </c>
      <c r="C210" s="56">
        <v>496</v>
      </c>
      <c r="D210" s="57">
        <f t="shared" si="2"/>
        <v>0.48015488867376571</v>
      </c>
      <c r="E210" s="56" t="s">
        <v>74</v>
      </c>
      <c r="F210" s="57"/>
    </row>
    <row r="211" spans="1:6" x14ac:dyDescent="0.3">
      <c r="A211" s="55" t="s">
        <v>64</v>
      </c>
      <c r="B211" s="56">
        <v>1256</v>
      </c>
      <c r="C211" s="56">
        <v>624</v>
      </c>
      <c r="D211" s="57">
        <f t="shared" si="2"/>
        <v>0.49681528662420382</v>
      </c>
      <c r="E211" s="56" t="s">
        <v>74</v>
      </c>
      <c r="F211" s="57"/>
    </row>
    <row r="212" spans="1:6" x14ac:dyDescent="0.3">
      <c r="A212" s="55" t="s">
        <v>59</v>
      </c>
      <c r="B212" s="56">
        <v>161</v>
      </c>
      <c r="C212" s="56">
        <v>91</v>
      </c>
      <c r="D212" s="57">
        <f t="shared" si="2"/>
        <v>0.56521739130434778</v>
      </c>
      <c r="E212" s="56" t="s">
        <v>74</v>
      </c>
      <c r="F212" s="57"/>
    </row>
    <row r="213" spans="1:6" x14ac:dyDescent="0.3">
      <c r="A213" s="55" t="s">
        <v>60</v>
      </c>
      <c r="B213" s="56">
        <v>692</v>
      </c>
      <c r="C213" s="56">
        <v>389</v>
      </c>
      <c r="D213" s="57">
        <f t="shared" si="2"/>
        <v>0.56213872832369938</v>
      </c>
      <c r="E213" s="56" t="s">
        <v>74</v>
      </c>
      <c r="F213" s="57"/>
    </row>
    <row r="214" spans="1:6" x14ac:dyDescent="0.3">
      <c r="A214" s="55" t="s">
        <v>37</v>
      </c>
      <c r="B214" s="56">
        <v>449</v>
      </c>
      <c r="C214" s="56">
        <v>254</v>
      </c>
      <c r="D214" s="57">
        <f t="shared" si="2"/>
        <v>0.5657015590200446</v>
      </c>
      <c r="E214" s="56" t="s">
        <v>74</v>
      </c>
      <c r="F214" s="57"/>
    </row>
    <row r="215" spans="1:6" x14ac:dyDescent="0.3">
      <c r="A215" s="55" t="s">
        <v>61</v>
      </c>
      <c r="B215" s="56">
        <v>34</v>
      </c>
      <c r="C215" s="56">
        <v>14</v>
      </c>
      <c r="D215" s="57">
        <f t="shared" si="2"/>
        <v>0.41176470588235292</v>
      </c>
      <c r="E215" s="56" t="s">
        <v>74</v>
      </c>
      <c r="F215" s="57"/>
    </row>
    <row r="216" spans="1:6" x14ac:dyDescent="0.3">
      <c r="A216" s="55" t="s">
        <v>30</v>
      </c>
      <c r="B216" s="56">
        <v>6985</v>
      </c>
      <c r="C216" s="56">
        <v>3609</v>
      </c>
      <c r="D216" s="57">
        <f t="shared" si="2"/>
        <v>0.51667859699355767</v>
      </c>
      <c r="E216" s="56" t="s">
        <v>75</v>
      </c>
      <c r="F216" s="57"/>
    </row>
    <row r="217" spans="1:6" x14ac:dyDescent="0.3">
      <c r="A217" s="55" t="s">
        <v>31</v>
      </c>
      <c r="B217" s="56">
        <v>661</v>
      </c>
      <c r="C217" s="56">
        <v>311</v>
      </c>
      <c r="D217" s="57">
        <f t="shared" si="2"/>
        <v>0.47049924357034795</v>
      </c>
      <c r="E217" s="56" t="s">
        <v>75</v>
      </c>
      <c r="F217" s="57"/>
    </row>
    <row r="218" spans="1:6" x14ac:dyDescent="0.3">
      <c r="A218" s="55" t="s">
        <v>32</v>
      </c>
      <c r="B218" s="56">
        <v>64</v>
      </c>
      <c r="C218" s="56">
        <v>23</v>
      </c>
      <c r="D218" s="57">
        <f t="shared" si="2"/>
        <v>0.359375</v>
      </c>
      <c r="E218" s="56" t="s">
        <v>75</v>
      </c>
      <c r="F218" s="57"/>
    </row>
    <row r="219" spans="1:6" x14ac:dyDescent="0.3">
      <c r="A219" s="55" t="s">
        <v>33</v>
      </c>
      <c r="B219" s="56">
        <v>712</v>
      </c>
      <c r="C219" s="56">
        <v>483</v>
      </c>
      <c r="D219" s="57">
        <f t="shared" si="2"/>
        <v>0.6783707865168539</v>
      </c>
      <c r="E219" s="56" t="s">
        <v>75</v>
      </c>
      <c r="F219" s="57"/>
    </row>
    <row r="220" spans="1:6" x14ac:dyDescent="0.3">
      <c r="A220" s="55" t="s">
        <v>57</v>
      </c>
      <c r="B220" s="56">
        <v>168</v>
      </c>
      <c r="C220" s="56">
        <v>93</v>
      </c>
      <c r="D220" s="57">
        <f t="shared" si="2"/>
        <v>0.5535714285714286</v>
      </c>
      <c r="E220" s="56" t="s">
        <v>75</v>
      </c>
      <c r="F220" s="57"/>
    </row>
    <row r="221" spans="1:6" x14ac:dyDescent="0.3">
      <c r="A221" s="55" t="s">
        <v>58</v>
      </c>
      <c r="B221" s="56">
        <v>120</v>
      </c>
      <c r="C221" s="56">
        <v>71</v>
      </c>
      <c r="D221" s="57">
        <f t="shared" si="2"/>
        <v>0.59166666666666667</v>
      </c>
      <c r="E221" s="56" t="s">
        <v>75</v>
      </c>
      <c r="F221" s="57"/>
    </row>
    <row r="222" spans="1:6" x14ac:dyDescent="0.3">
      <c r="A222" s="55" t="s">
        <v>35</v>
      </c>
      <c r="B222" s="56">
        <v>1571</v>
      </c>
      <c r="C222" s="56">
        <v>743</v>
      </c>
      <c r="D222" s="57">
        <f t="shared" si="2"/>
        <v>0.47294716740929343</v>
      </c>
      <c r="E222" s="56" t="s">
        <v>75</v>
      </c>
      <c r="F222" s="57"/>
    </row>
    <row r="223" spans="1:6" x14ac:dyDescent="0.3">
      <c r="A223" s="55" t="s">
        <v>36</v>
      </c>
      <c r="B223" s="56">
        <v>1006</v>
      </c>
      <c r="C223" s="56">
        <v>517</v>
      </c>
      <c r="D223" s="57">
        <f t="shared" si="2"/>
        <v>0.51391650099403574</v>
      </c>
      <c r="E223" s="56" t="s">
        <v>75</v>
      </c>
      <c r="F223" s="57"/>
    </row>
    <row r="224" spans="1:6" x14ac:dyDescent="0.3">
      <c r="A224" s="55" t="s">
        <v>64</v>
      </c>
      <c r="B224" s="56">
        <v>1399</v>
      </c>
      <c r="C224" s="56">
        <v>681</v>
      </c>
      <c r="D224" s="57">
        <f t="shared" si="2"/>
        <v>0.48677626876340241</v>
      </c>
      <c r="E224" s="56" t="s">
        <v>75</v>
      </c>
      <c r="F224" s="57"/>
    </row>
    <row r="225" spans="1:6" x14ac:dyDescent="0.3">
      <c r="A225" s="55" t="s">
        <v>59</v>
      </c>
      <c r="B225" s="56">
        <v>64</v>
      </c>
      <c r="C225" s="56">
        <v>22</v>
      </c>
      <c r="D225" s="57">
        <f t="shared" si="2"/>
        <v>0.34375</v>
      </c>
      <c r="E225" s="56" t="s">
        <v>75</v>
      </c>
      <c r="F225" s="57"/>
    </row>
    <row r="226" spans="1:6" x14ac:dyDescent="0.3">
      <c r="A226" s="55" t="s">
        <v>60</v>
      </c>
      <c r="B226" s="56">
        <v>690</v>
      </c>
      <c r="C226" s="56">
        <v>396</v>
      </c>
      <c r="D226" s="57">
        <f t="shared" si="2"/>
        <v>0.57391304347826089</v>
      </c>
      <c r="E226" s="56" t="s">
        <v>75</v>
      </c>
      <c r="F226" s="57"/>
    </row>
    <row r="227" spans="1:6" x14ac:dyDescent="0.3">
      <c r="A227" s="55" t="s">
        <v>37</v>
      </c>
      <c r="B227" s="56">
        <v>513</v>
      </c>
      <c r="C227" s="56">
        <v>258</v>
      </c>
      <c r="D227" s="57">
        <f t="shared" si="2"/>
        <v>0.50292397660818711</v>
      </c>
      <c r="E227" s="56" t="s">
        <v>75</v>
      </c>
      <c r="F227" s="57"/>
    </row>
    <row r="228" spans="1:6" x14ac:dyDescent="0.3">
      <c r="A228" s="55" t="s">
        <v>61</v>
      </c>
      <c r="B228" s="56">
        <v>17</v>
      </c>
      <c r="C228" s="56">
        <v>11</v>
      </c>
      <c r="D228" s="57">
        <f t="shared" si="2"/>
        <v>0.6470588235294118</v>
      </c>
      <c r="E228" s="56" t="s">
        <v>75</v>
      </c>
      <c r="F228" s="57"/>
    </row>
    <row r="229" spans="1:6" x14ac:dyDescent="0.3">
      <c r="A229" s="13" t="s">
        <v>31</v>
      </c>
      <c r="B229" s="13">
        <v>644</v>
      </c>
      <c r="C229" s="13">
        <v>310</v>
      </c>
      <c r="D229" s="57">
        <f t="shared" si="2"/>
        <v>0.48136645962732921</v>
      </c>
      <c r="E229" s="56" t="s">
        <v>76</v>
      </c>
    </row>
    <row r="230" spans="1:6" x14ac:dyDescent="0.3">
      <c r="A230" s="13" t="s">
        <v>32</v>
      </c>
      <c r="B230" s="13">
        <v>49</v>
      </c>
      <c r="C230" s="13">
        <v>24</v>
      </c>
      <c r="D230" s="57">
        <f t="shared" si="2"/>
        <v>0.48979591836734693</v>
      </c>
      <c r="E230" s="56" t="s">
        <v>76</v>
      </c>
    </row>
    <row r="231" spans="1:6" x14ac:dyDescent="0.3">
      <c r="A231" s="13" t="s">
        <v>33</v>
      </c>
      <c r="B231" s="13">
        <v>780</v>
      </c>
      <c r="C231" s="13">
        <v>534</v>
      </c>
      <c r="D231" s="57">
        <f t="shared" si="2"/>
        <v>0.68461538461538463</v>
      </c>
      <c r="E231" s="56" t="s">
        <v>76</v>
      </c>
    </row>
    <row r="232" spans="1:6" x14ac:dyDescent="0.3">
      <c r="A232" s="13" t="s">
        <v>57</v>
      </c>
      <c r="B232" s="13">
        <v>131</v>
      </c>
      <c r="C232" s="13">
        <v>61</v>
      </c>
      <c r="D232" s="57">
        <f t="shared" si="2"/>
        <v>0.46564885496183206</v>
      </c>
      <c r="E232" s="56" t="s">
        <v>76</v>
      </c>
    </row>
    <row r="233" spans="1:6" x14ac:dyDescent="0.3">
      <c r="A233" s="13" t="s">
        <v>63</v>
      </c>
      <c r="B233" s="13">
        <v>21</v>
      </c>
      <c r="C233" s="13">
        <v>10</v>
      </c>
      <c r="D233" s="57">
        <f t="shared" si="2"/>
        <v>0.47619047619047616</v>
      </c>
      <c r="E233" s="56" t="s">
        <v>76</v>
      </c>
    </row>
    <row r="234" spans="1:6" x14ac:dyDescent="0.3">
      <c r="A234" s="13" t="s">
        <v>58</v>
      </c>
      <c r="B234" s="13">
        <v>120</v>
      </c>
      <c r="C234" s="13">
        <v>65</v>
      </c>
      <c r="D234" s="57">
        <f t="shared" si="2"/>
        <v>0.54166666666666663</v>
      </c>
      <c r="E234" s="56" t="s">
        <v>76</v>
      </c>
    </row>
    <row r="235" spans="1:6" x14ac:dyDescent="0.3">
      <c r="A235" s="13" t="s">
        <v>35</v>
      </c>
      <c r="B235" s="13">
        <v>1636</v>
      </c>
      <c r="C235" s="13">
        <v>783</v>
      </c>
      <c r="D235" s="57">
        <f t="shared" si="2"/>
        <v>0.47860635696821519</v>
      </c>
      <c r="E235" s="56" t="s">
        <v>76</v>
      </c>
    </row>
    <row r="236" spans="1:6" x14ac:dyDescent="0.3">
      <c r="A236" s="13" t="s">
        <v>36</v>
      </c>
      <c r="B236" s="13">
        <v>1172</v>
      </c>
      <c r="C236" s="13">
        <v>571</v>
      </c>
      <c r="D236" s="57">
        <f t="shared" si="2"/>
        <v>0.48720136518771329</v>
      </c>
      <c r="E236" s="56" t="s">
        <v>76</v>
      </c>
    </row>
    <row r="237" spans="1:6" x14ac:dyDescent="0.3">
      <c r="A237" s="13" t="s">
        <v>64</v>
      </c>
      <c r="B237" s="13">
        <v>1408</v>
      </c>
      <c r="C237" s="13">
        <v>733</v>
      </c>
      <c r="D237" s="57">
        <f t="shared" si="2"/>
        <v>0.52059659090909094</v>
      </c>
      <c r="E237" s="56" t="s">
        <v>76</v>
      </c>
    </row>
    <row r="238" spans="1:6" x14ac:dyDescent="0.3">
      <c r="A238" s="13" t="s">
        <v>59</v>
      </c>
      <c r="B238" s="13">
        <v>338</v>
      </c>
      <c r="C238" s="13">
        <v>179</v>
      </c>
      <c r="D238" s="57">
        <f t="shared" si="2"/>
        <v>0.52958579881656809</v>
      </c>
      <c r="E238" s="56" t="s">
        <v>76</v>
      </c>
    </row>
    <row r="239" spans="1:6" x14ac:dyDescent="0.3">
      <c r="A239" s="13" t="s">
        <v>60</v>
      </c>
      <c r="B239" s="13">
        <v>717</v>
      </c>
      <c r="C239" s="13">
        <v>402</v>
      </c>
      <c r="D239" s="57">
        <f t="shared" si="2"/>
        <v>0.56066945606694563</v>
      </c>
      <c r="E239" s="56" t="s">
        <v>76</v>
      </c>
    </row>
    <row r="240" spans="1:6" x14ac:dyDescent="0.3">
      <c r="A240" s="13" t="s">
        <v>37</v>
      </c>
      <c r="B240" s="13">
        <v>546</v>
      </c>
      <c r="C240" s="13">
        <v>303</v>
      </c>
      <c r="D240" s="57">
        <f t="shared" si="2"/>
        <v>0.55494505494505497</v>
      </c>
      <c r="E240" s="56" t="s">
        <v>76</v>
      </c>
    </row>
    <row r="241" spans="1:5" x14ac:dyDescent="0.3">
      <c r="A241" s="13" t="s">
        <v>61</v>
      </c>
      <c r="B241" s="13">
        <v>13</v>
      </c>
      <c r="C241" s="13">
        <v>11</v>
      </c>
      <c r="D241" s="57">
        <f t="shared" si="2"/>
        <v>0.84615384615384615</v>
      </c>
      <c r="E241" s="56" t="s">
        <v>76</v>
      </c>
    </row>
    <row r="242" spans="1:5" x14ac:dyDescent="0.3">
      <c r="A242" s="13" t="s">
        <v>30</v>
      </c>
      <c r="B242" s="13">
        <v>7406</v>
      </c>
      <c r="C242" s="13">
        <v>4712</v>
      </c>
      <c r="D242" s="57">
        <f t="shared" si="2"/>
        <v>0.63624088576829596</v>
      </c>
      <c r="E242" s="56" t="s">
        <v>77</v>
      </c>
    </row>
    <row r="243" spans="1:5" x14ac:dyDescent="0.3">
      <c r="A243" s="13" t="s">
        <v>31</v>
      </c>
      <c r="B243" s="13">
        <v>525</v>
      </c>
      <c r="C243" s="13">
        <v>327</v>
      </c>
      <c r="D243" s="57">
        <f t="shared" si="2"/>
        <v>0.62285714285714289</v>
      </c>
      <c r="E243" s="56" t="s">
        <v>77</v>
      </c>
    </row>
    <row r="244" spans="1:5" x14ac:dyDescent="0.3">
      <c r="A244" s="13" t="s">
        <v>32</v>
      </c>
      <c r="B244" s="13">
        <v>54</v>
      </c>
      <c r="C244" s="13">
        <v>27</v>
      </c>
      <c r="D244" s="57">
        <f t="shared" si="2"/>
        <v>0.5</v>
      </c>
      <c r="E244" s="56" t="s">
        <v>77</v>
      </c>
    </row>
    <row r="245" spans="1:5" x14ac:dyDescent="0.3">
      <c r="A245" s="13" t="s">
        <v>33</v>
      </c>
      <c r="B245" s="13">
        <v>738</v>
      </c>
      <c r="C245" s="13">
        <v>663</v>
      </c>
      <c r="D245" s="57">
        <f t="shared" si="2"/>
        <v>0.89837398373983735</v>
      </c>
      <c r="E245" s="56" t="s">
        <v>77</v>
      </c>
    </row>
    <row r="246" spans="1:5" x14ac:dyDescent="0.3">
      <c r="A246" s="13" t="s">
        <v>57</v>
      </c>
      <c r="B246" s="13">
        <v>123</v>
      </c>
      <c r="C246" s="13">
        <v>81</v>
      </c>
      <c r="D246" s="57">
        <f t="shared" si="2"/>
        <v>0.65853658536585369</v>
      </c>
      <c r="E246" s="56" t="s">
        <v>77</v>
      </c>
    </row>
    <row r="247" spans="1:5" x14ac:dyDescent="0.3">
      <c r="A247" s="13" t="s">
        <v>63</v>
      </c>
      <c r="B247" s="13">
        <v>47</v>
      </c>
      <c r="C247" s="13">
        <v>27</v>
      </c>
      <c r="D247" s="57">
        <f t="shared" si="2"/>
        <v>0.57446808510638303</v>
      </c>
      <c r="E247" s="56" t="s">
        <v>77</v>
      </c>
    </row>
    <row r="248" spans="1:5" x14ac:dyDescent="0.3">
      <c r="A248" s="13" t="s">
        <v>58</v>
      </c>
      <c r="B248" s="13">
        <v>140</v>
      </c>
      <c r="C248" s="13">
        <v>94</v>
      </c>
      <c r="D248" s="57">
        <f t="shared" si="2"/>
        <v>0.67142857142857137</v>
      </c>
      <c r="E248" s="56" t="s">
        <v>77</v>
      </c>
    </row>
    <row r="249" spans="1:5" x14ac:dyDescent="0.3">
      <c r="A249" s="13" t="s">
        <v>35</v>
      </c>
      <c r="B249" s="13">
        <v>1698</v>
      </c>
      <c r="C249" s="13">
        <v>981</v>
      </c>
      <c r="D249" s="57">
        <f t="shared" si="2"/>
        <v>0.57773851590106007</v>
      </c>
      <c r="E249" s="56" t="s">
        <v>77</v>
      </c>
    </row>
    <row r="250" spans="1:5" x14ac:dyDescent="0.3">
      <c r="A250" s="13" t="s">
        <v>36</v>
      </c>
      <c r="B250" s="13">
        <v>1175</v>
      </c>
      <c r="C250" s="13">
        <v>678</v>
      </c>
      <c r="D250" s="57">
        <f t="shared" si="2"/>
        <v>0.57702127659574465</v>
      </c>
      <c r="E250" s="56" t="s">
        <v>77</v>
      </c>
    </row>
    <row r="251" spans="1:5" x14ac:dyDescent="0.3">
      <c r="A251" s="13" t="s">
        <v>64</v>
      </c>
      <c r="B251" s="13">
        <v>1402</v>
      </c>
      <c r="C251" s="13">
        <v>811</v>
      </c>
      <c r="D251" s="57">
        <f t="shared" si="2"/>
        <v>0.57845934379457919</v>
      </c>
      <c r="E251" s="56" t="s">
        <v>77</v>
      </c>
    </row>
    <row r="252" spans="1:5" x14ac:dyDescent="0.3">
      <c r="A252" s="13" t="s">
        <v>59</v>
      </c>
      <c r="B252" s="13">
        <v>258</v>
      </c>
      <c r="C252" s="13">
        <v>180</v>
      </c>
      <c r="D252" s="57">
        <f t="shared" si="2"/>
        <v>0.69767441860465118</v>
      </c>
      <c r="E252" s="56" t="s">
        <v>77</v>
      </c>
    </row>
    <row r="253" spans="1:5" x14ac:dyDescent="0.3">
      <c r="A253" s="13" t="s">
        <v>60</v>
      </c>
      <c r="B253" s="13">
        <v>801</v>
      </c>
      <c r="C253" s="13">
        <v>497</v>
      </c>
      <c r="D253" s="57">
        <f t="shared" si="2"/>
        <v>0.62047440699126089</v>
      </c>
      <c r="E253" s="56" t="s">
        <v>77</v>
      </c>
    </row>
    <row r="254" spans="1:5" x14ac:dyDescent="0.3">
      <c r="A254" s="13" t="s">
        <v>37</v>
      </c>
      <c r="B254" s="13">
        <v>393</v>
      </c>
      <c r="C254" s="13">
        <v>304</v>
      </c>
      <c r="D254" s="57">
        <f t="shared" si="2"/>
        <v>0.77353689567430028</v>
      </c>
      <c r="E254" s="56" t="s">
        <v>77</v>
      </c>
    </row>
    <row r="255" spans="1:5" x14ac:dyDescent="0.3">
      <c r="A255" s="13" t="s">
        <v>61</v>
      </c>
      <c r="B255" s="13">
        <v>52</v>
      </c>
      <c r="C255" s="13">
        <v>42</v>
      </c>
      <c r="D255" s="57">
        <f t="shared" si="2"/>
        <v>0.80769230769230771</v>
      </c>
      <c r="E255" s="56" t="s">
        <v>77</v>
      </c>
    </row>
    <row r="256" spans="1:5" x14ac:dyDescent="0.3">
      <c r="A256" s="55" t="s">
        <v>30</v>
      </c>
      <c r="B256" s="56">
        <v>7969</v>
      </c>
      <c r="C256" s="56">
        <v>5049</v>
      </c>
      <c r="D256" s="57">
        <f t="shared" si="2"/>
        <v>0.6335801229765341</v>
      </c>
      <c r="E256" s="59" t="s">
        <v>78</v>
      </c>
    </row>
    <row r="257" spans="1:6" x14ac:dyDescent="0.3">
      <c r="A257" s="55" t="s">
        <v>31</v>
      </c>
      <c r="B257" s="56">
        <v>886</v>
      </c>
      <c r="C257" s="56">
        <v>549</v>
      </c>
      <c r="D257" s="57">
        <f t="shared" si="2"/>
        <v>0.61963882618510158</v>
      </c>
      <c r="E257" s="59" t="s">
        <v>78</v>
      </c>
    </row>
    <row r="258" spans="1:6" x14ac:dyDescent="0.3">
      <c r="A258" s="55" t="s">
        <v>32</v>
      </c>
      <c r="B258" s="56">
        <v>51</v>
      </c>
      <c r="C258" s="56">
        <v>28</v>
      </c>
      <c r="D258" s="57">
        <f t="shared" si="2"/>
        <v>0.5490196078431373</v>
      </c>
      <c r="E258" s="59" t="s">
        <v>78</v>
      </c>
    </row>
    <row r="259" spans="1:6" x14ac:dyDescent="0.3">
      <c r="A259" s="55" t="s">
        <v>33</v>
      </c>
      <c r="B259" s="56">
        <v>844</v>
      </c>
      <c r="C259" s="56">
        <v>769</v>
      </c>
      <c r="D259" s="57">
        <f t="shared" si="2"/>
        <v>0.91113744075829384</v>
      </c>
      <c r="E259" s="59" t="s">
        <v>78</v>
      </c>
    </row>
    <row r="260" spans="1:6" x14ac:dyDescent="0.3">
      <c r="A260" s="55" t="s">
        <v>57</v>
      </c>
      <c r="B260" s="56">
        <v>65</v>
      </c>
      <c r="C260" s="56">
        <v>46</v>
      </c>
      <c r="D260" s="57">
        <f t="shared" si="2"/>
        <v>0.70769230769230773</v>
      </c>
      <c r="E260" s="59" t="s">
        <v>78</v>
      </c>
    </row>
    <row r="261" spans="1:6" x14ac:dyDescent="0.3">
      <c r="A261" s="55" t="s">
        <v>63</v>
      </c>
      <c r="B261" s="56">
        <v>61</v>
      </c>
      <c r="C261" s="56">
        <v>32</v>
      </c>
      <c r="D261" s="57">
        <f t="shared" si="2"/>
        <v>0.52459016393442626</v>
      </c>
      <c r="E261" s="59" t="s">
        <v>78</v>
      </c>
    </row>
    <row r="262" spans="1:6" x14ac:dyDescent="0.3">
      <c r="A262" s="55" t="s">
        <v>58</v>
      </c>
      <c r="B262" s="56">
        <v>149</v>
      </c>
      <c r="C262" s="56">
        <v>103</v>
      </c>
      <c r="D262" s="57">
        <f t="shared" si="2"/>
        <v>0.6912751677852349</v>
      </c>
      <c r="E262" s="59" t="s">
        <v>78</v>
      </c>
    </row>
    <row r="263" spans="1:6" x14ac:dyDescent="0.3">
      <c r="A263" s="55" t="s">
        <v>35</v>
      </c>
      <c r="B263" s="56">
        <v>1791</v>
      </c>
      <c r="C263" s="56">
        <v>962</v>
      </c>
      <c r="D263" s="57">
        <f t="shared" si="2"/>
        <v>0.53713009491903962</v>
      </c>
      <c r="E263" s="59" t="s">
        <v>78</v>
      </c>
    </row>
    <row r="264" spans="1:6" x14ac:dyDescent="0.3">
      <c r="A264" s="55" t="s">
        <v>36</v>
      </c>
      <c r="B264" s="56">
        <v>1296</v>
      </c>
      <c r="C264" s="56">
        <v>712</v>
      </c>
      <c r="D264" s="57">
        <f t="shared" si="2"/>
        <v>0.54938271604938271</v>
      </c>
      <c r="E264" s="59" t="s">
        <v>78</v>
      </c>
    </row>
    <row r="265" spans="1:6" x14ac:dyDescent="0.3">
      <c r="A265" s="55" t="s">
        <v>64</v>
      </c>
      <c r="B265" s="56">
        <v>1225</v>
      </c>
      <c r="C265" s="56">
        <v>732</v>
      </c>
      <c r="D265" s="57">
        <f t="shared" si="2"/>
        <v>0.59755102040816321</v>
      </c>
      <c r="E265" s="59" t="s">
        <v>78</v>
      </c>
    </row>
    <row r="266" spans="1:6" x14ac:dyDescent="0.3">
      <c r="A266" s="55" t="s">
        <v>59</v>
      </c>
      <c r="B266" s="56">
        <v>401</v>
      </c>
      <c r="C266" s="56">
        <v>269</v>
      </c>
      <c r="D266" s="57">
        <f t="shared" ref="D266:D329" si="3">SUM(C266/B266)</f>
        <v>0.67082294264339148</v>
      </c>
      <c r="E266" s="59" t="s">
        <v>78</v>
      </c>
    </row>
    <row r="267" spans="1:6" x14ac:dyDescent="0.3">
      <c r="A267" s="55" t="s">
        <v>60</v>
      </c>
      <c r="B267" s="56">
        <v>736</v>
      </c>
      <c r="C267" s="56">
        <v>488</v>
      </c>
      <c r="D267" s="57">
        <f t="shared" si="3"/>
        <v>0.66304347826086951</v>
      </c>
      <c r="E267" s="59" t="s">
        <v>78</v>
      </c>
    </row>
    <row r="268" spans="1:6" x14ac:dyDescent="0.3">
      <c r="A268" s="55" t="s">
        <v>37</v>
      </c>
      <c r="B268" s="56">
        <v>406</v>
      </c>
      <c r="C268" s="56">
        <v>318</v>
      </c>
      <c r="D268" s="57">
        <f t="shared" si="3"/>
        <v>0.78325123152709364</v>
      </c>
      <c r="E268" s="59" t="s">
        <v>78</v>
      </c>
    </row>
    <row r="269" spans="1:6" x14ac:dyDescent="0.3">
      <c r="A269" s="55" t="s">
        <v>61</v>
      </c>
      <c r="B269" s="56">
        <v>38</v>
      </c>
      <c r="C269" s="56">
        <v>30</v>
      </c>
      <c r="D269" s="57">
        <f t="shared" si="3"/>
        <v>0.78947368421052633</v>
      </c>
      <c r="E269" s="59" t="s">
        <v>78</v>
      </c>
    </row>
    <row r="270" spans="1:6" x14ac:dyDescent="0.3">
      <c r="A270" s="55" t="s">
        <v>62</v>
      </c>
      <c r="B270" s="56">
        <v>20</v>
      </c>
      <c r="C270" s="56">
        <v>11</v>
      </c>
      <c r="D270" s="57">
        <f t="shared" si="3"/>
        <v>0.55000000000000004</v>
      </c>
      <c r="E270" s="59" t="s">
        <v>78</v>
      </c>
    </row>
    <row r="271" spans="1:6" x14ac:dyDescent="0.3">
      <c r="A271" s="55" t="s">
        <v>30</v>
      </c>
      <c r="B271" s="56">
        <v>6497</v>
      </c>
      <c r="C271" s="56">
        <v>4336</v>
      </c>
      <c r="D271" s="57">
        <f t="shared" si="3"/>
        <v>0.66738494689856853</v>
      </c>
      <c r="E271" s="59" t="s">
        <v>79</v>
      </c>
      <c r="F271" s="57"/>
    </row>
    <row r="272" spans="1:6" x14ac:dyDescent="0.3">
      <c r="A272" s="55" t="s">
        <v>31</v>
      </c>
      <c r="B272" s="56">
        <v>655</v>
      </c>
      <c r="C272" s="56">
        <v>406</v>
      </c>
      <c r="D272" s="57">
        <f t="shared" si="3"/>
        <v>0.6198473282442748</v>
      </c>
      <c r="E272" s="59" t="s">
        <v>79</v>
      </c>
      <c r="F272" s="57"/>
    </row>
    <row r="273" spans="1:7" x14ac:dyDescent="0.3">
      <c r="A273" s="55" t="s">
        <v>32</v>
      </c>
      <c r="B273" s="56">
        <v>39</v>
      </c>
      <c r="C273" s="56">
        <v>18</v>
      </c>
      <c r="D273" s="57">
        <f t="shared" si="3"/>
        <v>0.46153846153846156</v>
      </c>
      <c r="E273" s="59" t="s">
        <v>79</v>
      </c>
      <c r="F273" s="57"/>
    </row>
    <row r="274" spans="1:7" x14ac:dyDescent="0.3">
      <c r="A274" s="55" t="s">
        <v>33</v>
      </c>
      <c r="B274" s="56">
        <v>895</v>
      </c>
      <c r="C274" s="56">
        <v>808</v>
      </c>
      <c r="D274" s="57">
        <f t="shared" si="3"/>
        <v>0.90279329608938552</v>
      </c>
      <c r="E274" s="59" t="s">
        <v>79</v>
      </c>
      <c r="F274" s="57"/>
    </row>
    <row r="275" spans="1:7" x14ac:dyDescent="0.3">
      <c r="A275" s="55" t="s">
        <v>57</v>
      </c>
      <c r="B275" s="56">
        <v>41</v>
      </c>
      <c r="C275" s="56">
        <v>22</v>
      </c>
      <c r="D275" s="57">
        <f t="shared" si="3"/>
        <v>0.53658536585365857</v>
      </c>
      <c r="E275" s="59" t="s">
        <v>79</v>
      </c>
      <c r="F275" s="57"/>
    </row>
    <row r="276" spans="1:7" x14ac:dyDescent="0.3">
      <c r="A276" s="55" t="s">
        <v>63</v>
      </c>
      <c r="B276" s="56">
        <v>76</v>
      </c>
      <c r="C276" s="56">
        <v>44</v>
      </c>
      <c r="D276" s="57">
        <f t="shared" si="3"/>
        <v>0.57894736842105265</v>
      </c>
      <c r="E276" s="59" t="s">
        <v>79</v>
      </c>
      <c r="F276" s="57"/>
    </row>
    <row r="277" spans="1:7" x14ac:dyDescent="0.3">
      <c r="A277" s="55" t="s">
        <v>58</v>
      </c>
      <c r="B277" s="56">
        <v>126</v>
      </c>
      <c r="C277" s="56">
        <v>103</v>
      </c>
      <c r="D277" s="57">
        <f t="shared" si="3"/>
        <v>0.81746031746031744</v>
      </c>
      <c r="E277" s="59" t="s">
        <v>79</v>
      </c>
      <c r="F277" s="57"/>
    </row>
    <row r="278" spans="1:7" x14ac:dyDescent="0.3">
      <c r="A278" s="55" t="s">
        <v>35</v>
      </c>
      <c r="B278" s="56">
        <v>1250</v>
      </c>
      <c r="C278" s="56">
        <v>756</v>
      </c>
      <c r="D278" s="57">
        <f t="shared" si="3"/>
        <v>0.6048</v>
      </c>
      <c r="E278" s="59" t="s">
        <v>79</v>
      </c>
      <c r="F278" s="57"/>
    </row>
    <row r="279" spans="1:7" x14ac:dyDescent="0.3">
      <c r="A279" s="55" t="s">
        <v>36</v>
      </c>
      <c r="B279" s="56">
        <v>947</v>
      </c>
      <c r="C279" s="56">
        <v>565</v>
      </c>
      <c r="D279" s="57">
        <f t="shared" si="3"/>
        <v>0.59662090813093982</v>
      </c>
      <c r="E279" s="59" t="s">
        <v>79</v>
      </c>
      <c r="F279" s="57"/>
    </row>
    <row r="280" spans="1:7" x14ac:dyDescent="0.3">
      <c r="A280" s="55" t="s">
        <v>64</v>
      </c>
      <c r="B280" s="56">
        <v>1235</v>
      </c>
      <c r="C280" s="56">
        <v>763</v>
      </c>
      <c r="D280" s="57">
        <f t="shared" si="3"/>
        <v>0.61781376518218623</v>
      </c>
      <c r="E280" s="59" t="s">
        <v>79</v>
      </c>
      <c r="F280" s="57"/>
    </row>
    <row r="281" spans="1:7" x14ac:dyDescent="0.3">
      <c r="A281" s="13" t="s">
        <v>59</v>
      </c>
      <c r="B281" s="13">
        <v>147</v>
      </c>
      <c r="C281" s="13">
        <v>103</v>
      </c>
      <c r="D281" s="57">
        <f t="shared" si="3"/>
        <v>0.70068027210884354</v>
      </c>
      <c r="E281" s="59" t="s">
        <v>79</v>
      </c>
    </row>
    <row r="282" spans="1:7" x14ac:dyDescent="0.3">
      <c r="A282" s="13" t="s">
        <v>60</v>
      </c>
      <c r="B282" s="13">
        <v>531</v>
      </c>
      <c r="C282" s="13">
        <v>361</v>
      </c>
      <c r="D282" s="57">
        <f t="shared" si="3"/>
        <v>0.67984934086629001</v>
      </c>
      <c r="E282" s="59" t="s">
        <v>79</v>
      </c>
    </row>
    <row r="283" spans="1:7" x14ac:dyDescent="0.3">
      <c r="A283" s="13" t="s">
        <v>37</v>
      </c>
      <c r="B283" s="13">
        <v>518</v>
      </c>
      <c r="C283" s="13">
        <v>362</v>
      </c>
      <c r="D283" s="57">
        <f t="shared" si="3"/>
        <v>0.69884169884169889</v>
      </c>
      <c r="E283" s="59" t="s">
        <v>79</v>
      </c>
    </row>
    <row r="284" spans="1:7" x14ac:dyDescent="0.3">
      <c r="A284" s="13" t="s">
        <v>61</v>
      </c>
      <c r="B284" s="13">
        <v>37</v>
      </c>
      <c r="C284" s="13">
        <v>25</v>
      </c>
      <c r="D284" s="57">
        <f t="shared" si="3"/>
        <v>0.67567567567567566</v>
      </c>
      <c r="E284" s="59" t="s">
        <v>79</v>
      </c>
    </row>
    <row r="285" spans="1:7" x14ac:dyDescent="0.3">
      <c r="A285" s="55" t="s">
        <v>30</v>
      </c>
      <c r="B285" s="56">
        <v>7043</v>
      </c>
      <c r="C285" s="56">
        <v>4571</v>
      </c>
      <c r="D285" s="57">
        <f t="shared" si="3"/>
        <v>0.64901320460031242</v>
      </c>
      <c r="E285" s="59" t="s">
        <v>80</v>
      </c>
      <c r="F285" s="57"/>
      <c r="G285"/>
    </row>
    <row r="286" spans="1:7" x14ac:dyDescent="0.3">
      <c r="A286" s="55" t="s">
        <v>31</v>
      </c>
      <c r="B286" s="56">
        <v>585</v>
      </c>
      <c r="C286" s="56">
        <v>385</v>
      </c>
      <c r="D286" s="57">
        <f t="shared" si="3"/>
        <v>0.65811965811965811</v>
      </c>
      <c r="E286" s="59" t="s">
        <v>80</v>
      </c>
      <c r="F286" s="57"/>
      <c r="G286"/>
    </row>
    <row r="287" spans="1:7" x14ac:dyDescent="0.3">
      <c r="A287" s="55" t="s">
        <v>32</v>
      </c>
      <c r="B287" s="56">
        <v>82</v>
      </c>
      <c r="C287" s="56">
        <v>42</v>
      </c>
      <c r="D287" s="57">
        <f t="shared" si="3"/>
        <v>0.51219512195121952</v>
      </c>
      <c r="E287" s="59" t="s">
        <v>80</v>
      </c>
      <c r="F287" s="57"/>
      <c r="G287"/>
    </row>
    <row r="288" spans="1:7" x14ac:dyDescent="0.3">
      <c r="A288" s="55" t="s">
        <v>33</v>
      </c>
      <c r="B288" s="56">
        <v>986</v>
      </c>
      <c r="C288" s="56">
        <v>859</v>
      </c>
      <c r="D288" s="57">
        <f t="shared" si="3"/>
        <v>0.87119675456389456</v>
      </c>
      <c r="E288" s="59" t="s">
        <v>80</v>
      </c>
      <c r="F288" s="57"/>
      <c r="G288"/>
    </row>
    <row r="289" spans="1:7" x14ac:dyDescent="0.3">
      <c r="A289" s="55" t="s">
        <v>57</v>
      </c>
      <c r="B289" s="56">
        <v>49</v>
      </c>
      <c r="C289" s="56">
        <v>37</v>
      </c>
      <c r="D289" s="57">
        <f t="shared" si="3"/>
        <v>0.75510204081632648</v>
      </c>
      <c r="E289" s="59" t="s">
        <v>80</v>
      </c>
      <c r="F289" s="57"/>
      <c r="G289"/>
    </row>
    <row r="290" spans="1:7" x14ac:dyDescent="0.3">
      <c r="A290" s="55" t="s">
        <v>58</v>
      </c>
      <c r="B290" s="56">
        <v>105</v>
      </c>
      <c r="C290" s="56">
        <v>83</v>
      </c>
      <c r="D290" s="57">
        <f t="shared" si="3"/>
        <v>0.79047619047619044</v>
      </c>
      <c r="E290" s="59" t="s">
        <v>80</v>
      </c>
      <c r="F290" s="57"/>
      <c r="G290"/>
    </row>
    <row r="291" spans="1:7" x14ac:dyDescent="0.3">
      <c r="A291" s="55" t="s">
        <v>35</v>
      </c>
      <c r="B291" s="56">
        <v>1534</v>
      </c>
      <c r="C291" s="56">
        <v>880</v>
      </c>
      <c r="D291" s="57">
        <f t="shared" si="3"/>
        <v>0.5736636245110821</v>
      </c>
      <c r="E291" s="59" t="s">
        <v>80</v>
      </c>
      <c r="F291" s="57"/>
      <c r="G291"/>
    </row>
    <row r="292" spans="1:7" x14ac:dyDescent="0.3">
      <c r="A292" s="55" t="s">
        <v>36</v>
      </c>
      <c r="B292" s="56">
        <v>1066</v>
      </c>
      <c r="C292" s="56">
        <v>574</v>
      </c>
      <c r="D292" s="57">
        <f t="shared" si="3"/>
        <v>0.53846153846153844</v>
      </c>
      <c r="E292" s="59" t="s">
        <v>80</v>
      </c>
      <c r="F292" s="57"/>
      <c r="G292"/>
    </row>
    <row r="293" spans="1:7" x14ac:dyDescent="0.3">
      <c r="A293" s="55" t="s">
        <v>64</v>
      </c>
      <c r="B293" s="56">
        <v>1043</v>
      </c>
      <c r="C293" s="56">
        <v>624</v>
      </c>
      <c r="D293" s="57">
        <f t="shared" si="3"/>
        <v>0.59827420901246409</v>
      </c>
      <c r="E293" s="59" t="s">
        <v>80</v>
      </c>
      <c r="F293" s="57"/>
      <c r="G293"/>
    </row>
    <row r="294" spans="1:7" x14ac:dyDescent="0.3">
      <c r="A294" s="55" t="s">
        <v>59</v>
      </c>
      <c r="B294" s="56">
        <v>320</v>
      </c>
      <c r="C294" s="56">
        <v>211</v>
      </c>
      <c r="D294" s="57">
        <f t="shared" si="3"/>
        <v>0.65937500000000004</v>
      </c>
      <c r="E294" s="59" t="s">
        <v>80</v>
      </c>
      <c r="F294" s="57"/>
      <c r="G294"/>
    </row>
    <row r="295" spans="1:7" x14ac:dyDescent="0.3">
      <c r="A295" s="55" t="s">
        <v>60</v>
      </c>
      <c r="B295" s="56">
        <v>610</v>
      </c>
      <c r="C295" s="56">
        <v>409</v>
      </c>
      <c r="D295" s="57">
        <f t="shared" si="3"/>
        <v>0.67049180327868851</v>
      </c>
      <c r="E295" s="59" t="s">
        <v>80</v>
      </c>
      <c r="F295" s="57"/>
      <c r="G295"/>
    </row>
    <row r="296" spans="1:7" x14ac:dyDescent="0.3">
      <c r="A296" s="55" t="s">
        <v>37</v>
      </c>
      <c r="B296" s="56">
        <v>611</v>
      </c>
      <c r="C296" s="56">
        <v>429</v>
      </c>
      <c r="D296" s="57">
        <f t="shared" si="3"/>
        <v>0.7021276595744681</v>
      </c>
      <c r="E296" s="59" t="s">
        <v>80</v>
      </c>
      <c r="F296" s="57"/>
      <c r="G296"/>
    </row>
    <row r="297" spans="1:7" x14ac:dyDescent="0.3">
      <c r="A297" s="55" t="s">
        <v>61</v>
      </c>
      <c r="B297" s="56">
        <v>38</v>
      </c>
      <c r="C297" s="56">
        <v>28</v>
      </c>
      <c r="D297" s="57">
        <f t="shared" si="3"/>
        <v>0.73684210526315785</v>
      </c>
      <c r="E297" s="59" t="s">
        <v>80</v>
      </c>
      <c r="F297" s="57"/>
      <c r="G297"/>
    </row>
    <row r="298" spans="1:7" x14ac:dyDescent="0.3">
      <c r="A298" s="55" t="s">
        <v>62</v>
      </c>
      <c r="B298" s="56">
        <v>14</v>
      </c>
      <c r="C298" s="56">
        <v>10</v>
      </c>
      <c r="D298" s="57">
        <f t="shared" si="3"/>
        <v>0.7142857142857143</v>
      </c>
      <c r="E298" s="59" t="s">
        <v>80</v>
      </c>
      <c r="F298"/>
      <c r="G298"/>
    </row>
    <row r="299" spans="1:7" x14ac:dyDescent="0.3">
      <c r="A299" s="55" t="s">
        <v>30</v>
      </c>
      <c r="B299" s="56">
        <v>7115</v>
      </c>
      <c r="C299" s="56">
        <v>4622</v>
      </c>
      <c r="D299" s="57">
        <f t="shared" si="3"/>
        <v>0.64961349262122281</v>
      </c>
      <c r="E299" s="59" t="s">
        <v>81</v>
      </c>
      <c r="F299" s="57"/>
    </row>
    <row r="300" spans="1:7" x14ac:dyDescent="0.3">
      <c r="A300" s="55" t="s">
        <v>31</v>
      </c>
      <c r="B300" s="56">
        <v>515</v>
      </c>
      <c r="C300" s="56">
        <v>326</v>
      </c>
      <c r="D300" s="57">
        <f t="shared" si="3"/>
        <v>0.63300970873786411</v>
      </c>
      <c r="E300" s="59" t="s">
        <v>81</v>
      </c>
      <c r="F300" s="57"/>
    </row>
    <row r="301" spans="1:7" x14ac:dyDescent="0.3">
      <c r="A301" s="55" t="s">
        <v>32</v>
      </c>
      <c r="B301" s="56">
        <v>60</v>
      </c>
      <c r="C301" s="56">
        <v>30</v>
      </c>
      <c r="D301" s="57">
        <f t="shared" si="3"/>
        <v>0.5</v>
      </c>
      <c r="E301" s="59" t="s">
        <v>81</v>
      </c>
      <c r="F301" s="57"/>
    </row>
    <row r="302" spans="1:7" x14ac:dyDescent="0.3">
      <c r="A302" s="55" t="s">
        <v>33</v>
      </c>
      <c r="B302" s="56">
        <v>854</v>
      </c>
      <c r="C302" s="56">
        <v>779</v>
      </c>
      <c r="D302" s="57">
        <f t="shared" si="3"/>
        <v>0.91217798594847777</v>
      </c>
      <c r="E302" s="59" t="s">
        <v>81</v>
      </c>
      <c r="F302" s="57"/>
    </row>
    <row r="303" spans="1:7" x14ac:dyDescent="0.3">
      <c r="A303" s="55" t="s">
        <v>57</v>
      </c>
      <c r="B303" s="56">
        <v>20</v>
      </c>
      <c r="C303" s="56">
        <v>12</v>
      </c>
      <c r="D303" s="57">
        <f t="shared" si="3"/>
        <v>0.6</v>
      </c>
      <c r="E303" s="59" t="s">
        <v>81</v>
      </c>
      <c r="F303" s="57"/>
    </row>
    <row r="304" spans="1:7" x14ac:dyDescent="0.3">
      <c r="A304" s="55" t="s">
        <v>63</v>
      </c>
      <c r="B304" s="56">
        <v>25</v>
      </c>
      <c r="C304" s="56">
        <v>17</v>
      </c>
      <c r="D304" s="57">
        <f t="shared" si="3"/>
        <v>0.68</v>
      </c>
      <c r="E304" s="59" t="s">
        <v>81</v>
      </c>
      <c r="F304" s="57"/>
    </row>
    <row r="305" spans="1:6" x14ac:dyDescent="0.3">
      <c r="A305" s="55" t="s">
        <v>58</v>
      </c>
      <c r="B305" s="56">
        <v>94</v>
      </c>
      <c r="C305" s="56">
        <v>69</v>
      </c>
      <c r="D305" s="57">
        <f t="shared" si="3"/>
        <v>0.73404255319148937</v>
      </c>
      <c r="E305" s="59" t="s">
        <v>81</v>
      </c>
      <c r="F305" s="57"/>
    </row>
    <row r="306" spans="1:6" x14ac:dyDescent="0.3">
      <c r="A306" s="55" t="s">
        <v>35</v>
      </c>
      <c r="B306" s="56">
        <v>1715</v>
      </c>
      <c r="C306" s="56">
        <v>1011</v>
      </c>
      <c r="D306" s="57">
        <f t="shared" si="3"/>
        <v>0.58950437317784254</v>
      </c>
      <c r="E306" s="59" t="s">
        <v>81</v>
      </c>
      <c r="F306" s="57"/>
    </row>
    <row r="307" spans="1:6" x14ac:dyDescent="0.3">
      <c r="A307" s="55" t="s">
        <v>36</v>
      </c>
      <c r="B307" s="56">
        <v>1211</v>
      </c>
      <c r="C307" s="56">
        <v>681</v>
      </c>
      <c r="D307" s="57">
        <f t="shared" si="3"/>
        <v>0.56234516928158551</v>
      </c>
      <c r="E307" s="59" t="s">
        <v>81</v>
      </c>
      <c r="F307" s="57"/>
    </row>
    <row r="308" spans="1:6" x14ac:dyDescent="0.3">
      <c r="A308" s="55" t="s">
        <v>64</v>
      </c>
      <c r="B308" s="56">
        <v>1109</v>
      </c>
      <c r="C308" s="56">
        <v>667</v>
      </c>
      <c r="D308" s="57">
        <f t="shared" si="3"/>
        <v>0.60144274120829577</v>
      </c>
      <c r="E308" s="59" t="s">
        <v>81</v>
      </c>
      <c r="F308" s="57"/>
    </row>
    <row r="309" spans="1:6" x14ac:dyDescent="0.3">
      <c r="A309" s="55" t="s">
        <v>59</v>
      </c>
      <c r="B309" s="56">
        <v>320</v>
      </c>
      <c r="C309" s="56">
        <v>205</v>
      </c>
      <c r="D309" s="57">
        <f t="shared" si="3"/>
        <v>0.640625</v>
      </c>
      <c r="E309" s="59" t="s">
        <v>81</v>
      </c>
      <c r="F309" s="57"/>
    </row>
    <row r="310" spans="1:6" x14ac:dyDescent="0.3">
      <c r="A310" s="55" t="s">
        <v>60</v>
      </c>
      <c r="B310" s="56">
        <v>677</v>
      </c>
      <c r="C310" s="56">
        <v>490</v>
      </c>
      <c r="D310" s="57">
        <f t="shared" si="3"/>
        <v>0.72378138847858198</v>
      </c>
      <c r="E310" s="59" t="s">
        <v>81</v>
      </c>
      <c r="F310" s="57"/>
    </row>
    <row r="311" spans="1:6" x14ac:dyDescent="0.3">
      <c r="A311" s="55" t="s">
        <v>37</v>
      </c>
      <c r="B311" s="56">
        <v>335</v>
      </c>
      <c r="C311" s="56">
        <v>226</v>
      </c>
      <c r="D311" s="57">
        <f t="shared" si="3"/>
        <v>0.67462686567164176</v>
      </c>
      <c r="E311" s="59" t="s">
        <v>81</v>
      </c>
      <c r="F311" s="57"/>
    </row>
    <row r="312" spans="1:6" x14ac:dyDescent="0.3">
      <c r="A312" s="55" t="s">
        <v>61</v>
      </c>
      <c r="B312" s="56">
        <v>35</v>
      </c>
      <c r="C312" s="56">
        <v>28</v>
      </c>
      <c r="D312" s="57">
        <f t="shared" si="3"/>
        <v>0.8</v>
      </c>
      <c r="E312" s="59" t="s">
        <v>81</v>
      </c>
      <c r="F312" s="57"/>
    </row>
    <row r="313" spans="1:6" x14ac:dyDescent="0.3">
      <c r="A313" s="55" t="s">
        <v>62</v>
      </c>
      <c r="B313" s="56">
        <v>145</v>
      </c>
      <c r="C313" s="56">
        <v>81</v>
      </c>
      <c r="D313" s="57">
        <f t="shared" si="3"/>
        <v>0.55862068965517242</v>
      </c>
      <c r="E313" s="59" t="s">
        <v>81</v>
      </c>
      <c r="F313" s="57"/>
    </row>
    <row r="314" spans="1:6" x14ac:dyDescent="0.3">
      <c r="A314" s="55" t="s">
        <v>30</v>
      </c>
      <c r="B314" s="56">
        <v>6079</v>
      </c>
      <c r="C314" s="56">
        <v>3908</v>
      </c>
      <c r="D314" s="57">
        <f t="shared" si="3"/>
        <v>0.64286889291001814</v>
      </c>
      <c r="E314" s="59" t="s">
        <v>82</v>
      </c>
      <c r="F314" s="57"/>
    </row>
    <row r="315" spans="1:6" x14ac:dyDescent="0.3">
      <c r="A315" s="55" t="s">
        <v>31</v>
      </c>
      <c r="B315" s="56">
        <v>522</v>
      </c>
      <c r="C315" s="56">
        <v>340</v>
      </c>
      <c r="D315" s="57">
        <f t="shared" si="3"/>
        <v>0.65134099616858232</v>
      </c>
      <c r="E315" s="59" t="s">
        <v>82</v>
      </c>
      <c r="F315" s="57"/>
    </row>
    <row r="316" spans="1:6" x14ac:dyDescent="0.3">
      <c r="A316" s="55" t="s">
        <v>32</v>
      </c>
      <c r="B316" s="56">
        <v>32</v>
      </c>
      <c r="C316" s="56">
        <v>16</v>
      </c>
      <c r="D316" s="57">
        <f t="shared" si="3"/>
        <v>0.5</v>
      </c>
      <c r="E316" s="59" t="s">
        <v>82</v>
      </c>
      <c r="F316" s="57"/>
    </row>
    <row r="317" spans="1:6" x14ac:dyDescent="0.3">
      <c r="A317" s="55" t="s">
        <v>33</v>
      </c>
      <c r="B317" s="56">
        <v>516</v>
      </c>
      <c r="C317" s="56">
        <v>459</v>
      </c>
      <c r="D317" s="57">
        <f t="shared" si="3"/>
        <v>0.88953488372093026</v>
      </c>
      <c r="E317" s="59" t="s">
        <v>82</v>
      </c>
      <c r="F317" s="57"/>
    </row>
    <row r="318" spans="1:6" x14ac:dyDescent="0.3">
      <c r="A318" s="55" t="s">
        <v>57</v>
      </c>
      <c r="B318" s="56">
        <v>55</v>
      </c>
      <c r="C318" s="56">
        <v>34</v>
      </c>
      <c r="D318" s="57">
        <f t="shared" si="3"/>
        <v>0.61818181818181817</v>
      </c>
      <c r="E318" s="59" t="s">
        <v>82</v>
      </c>
      <c r="F318" s="57"/>
    </row>
    <row r="319" spans="1:6" x14ac:dyDescent="0.3">
      <c r="A319" s="55" t="s">
        <v>58</v>
      </c>
      <c r="B319" s="56">
        <v>111</v>
      </c>
      <c r="C319" s="56">
        <v>87</v>
      </c>
      <c r="D319" s="57">
        <f t="shared" si="3"/>
        <v>0.78378378378378377</v>
      </c>
      <c r="E319" s="59" t="s">
        <v>82</v>
      </c>
      <c r="F319" s="57"/>
    </row>
    <row r="320" spans="1:6" x14ac:dyDescent="0.3">
      <c r="A320" s="55" t="s">
        <v>35</v>
      </c>
      <c r="B320" s="56">
        <v>1187</v>
      </c>
      <c r="C320" s="56">
        <v>671</v>
      </c>
      <c r="D320" s="57">
        <f t="shared" si="3"/>
        <v>0.56529064869418699</v>
      </c>
      <c r="E320" s="59" t="s">
        <v>82</v>
      </c>
      <c r="F320" s="57"/>
    </row>
    <row r="321" spans="1:6" x14ac:dyDescent="0.3">
      <c r="A321" s="55" t="s">
        <v>36</v>
      </c>
      <c r="B321" s="56">
        <v>1183</v>
      </c>
      <c r="C321" s="56">
        <v>662</v>
      </c>
      <c r="D321" s="57">
        <f t="shared" si="3"/>
        <v>0.55959425190194423</v>
      </c>
      <c r="E321" s="59" t="s">
        <v>82</v>
      </c>
      <c r="F321" s="57"/>
    </row>
    <row r="322" spans="1:6" x14ac:dyDescent="0.3">
      <c r="A322" s="55" t="s">
        <v>64</v>
      </c>
      <c r="B322" s="56">
        <v>978</v>
      </c>
      <c r="C322" s="56">
        <v>610</v>
      </c>
      <c r="D322" s="57">
        <f t="shared" si="3"/>
        <v>0.62372188139059304</v>
      </c>
      <c r="E322" s="59" t="s">
        <v>82</v>
      </c>
      <c r="F322" s="57"/>
    </row>
    <row r="323" spans="1:6" x14ac:dyDescent="0.3">
      <c r="A323" s="55" t="s">
        <v>59</v>
      </c>
      <c r="B323" s="56">
        <v>344</v>
      </c>
      <c r="C323" s="56">
        <v>219</v>
      </c>
      <c r="D323" s="57">
        <f t="shared" si="3"/>
        <v>0.63662790697674421</v>
      </c>
      <c r="E323" s="59" t="s">
        <v>82</v>
      </c>
      <c r="F323" s="57"/>
    </row>
    <row r="324" spans="1:6" x14ac:dyDescent="0.3">
      <c r="A324" s="55" t="s">
        <v>60</v>
      </c>
      <c r="B324" s="56">
        <v>618</v>
      </c>
      <c r="C324" s="56">
        <v>410</v>
      </c>
      <c r="D324" s="57">
        <f t="shared" si="3"/>
        <v>0.66343042071197411</v>
      </c>
      <c r="E324" s="59" t="s">
        <v>82</v>
      </c>
      <c r="F324" s="57"/>
    </row>
    <row r="325" spans="1:6" x14ac:dyDescent="0.3">
      <c r="A325" s="55" t="s">
        <v>37</v>
      </c>
      <c r="B325" s="56">
        <v>405</v>
      </c>
      <c r="C325" s="56">
        <v>299</v>
      </c>
      <c r="D325" s="57">
        <f t="shared" si="3"/>
        <v>0.7382716049382716</v>
      </c>
      <c r="E325" s="59" t="s">
        <v>82</v>
      </c>
      <c r="F325" s="57"/>
    </row>
    <row r="326" spans="1:6" x14ac:dyDescent="0.3">
      <c r="A326" s="55" t="s">
        <v>61</v>
      </c>
      <c r="B326" s="56">
        <v>86</v>
      </c>
      <c r="C326" s="56">
        <v>78</v>
      </c>
      <c r="D326" s="57">
        <f t="shared" si="3"/>
        <v>0.90697674418604646</v>
      </c>
      <c r="E326" s="59" t="s">
        <v>82</v>
      </c>
      <c r="F326" s="57"/>
    </row>
    <row r="327" spans="1:6" x14ac:dyDescent="0.3">
      <c r="A327" s="55" t="s">
        <v>62</v>
      </c>
      <c r="B327" s="56">
        <v>42</v>
      </c>
      <c r="C327" s="56">
        <v>23</v>
      </c>
      <c r="D327" s="57">
        <f t="shared" si="3"/>
        <v>0.54761904761904767</v>
      </c>
      <c r="E327" s="59" t="s">
        <v>82</v>
      </c>
      <c r="F327" s="57"/>
    </row>
    <row r="328" spans="1:6" x14ac:dyDescent="0.3">
      <c r="A328" s="55" t="s">
        <v>30</v>
      </c>
      <c r="B328" s="56">
        <v>6740</v>
      </c>
      <c r="C328" s="56">
        <v>4400</v>
      </c>
      <c r="D328" s="57">
        <f t="shared" si="3"/>
        <v>0.65281899109792285</v>
      </c>
      <c r="E328" s="59" t="s">
        <v>83</v>
      </c>
      <c r="F328" s="57"/>
    </row>
    <row r="329" spans="1:6" x14ac:dyDescent="0.3">
      <c r="A329" s="55" t="s">
        <v>31</v>
      </c>
      <c r="B329" s="56">
        <v>441</v>
      </c>
      <c r="C329" s="56">
        <v>259</v>
      </c>
      <c r="D329" s="57">
        <f t="shared" si="3"/>
        <v>0.58730158730158732</v>
      </c>
      <c r="E329" s="59" t="s">
        <v>83</v>
      </c>
      <c r="F329" s="57"/>
    </row>
    <row r="330" spans="1:6" x14ac:dyDescent="0.3">
      <c r="A330" s="55" t="s">
        <v>32</v>
      </c>
      <c r="B330" s="56">
        <v>57</v>
      </c>
      <c r="C330" s="56">
        <v>35</v>
      </c>
      <c r="D330" s="57">
        <f t="shared" ref="D330:D393" si="4">SUM(C330/B330)</f>
        <v>0.61403508771929827</v>
      </c>
      <c r="E330" s="59" t="s">
        <v>83</v>
      </c>
      <c r="F330" s="57"/>
    </row>
    <row r="331" spans="1:6" x14ac:dyDescent="0.3">
      <c r="A331" s="55" t="s">
        <v>33</v>
      </c>
      <c r="B331" s="56">
        <v>723</v>
      </c>
      <c r="C331" s="56">
        <v>663</v>
      </c>
      <c r="D331" s="57">
        <f t="shared" si="4"/>
        <v>0.91701244813278004</v>
      </c>
      <c r="E331" s="59" t="s">
        <v>83</v>
      </c>
      <c r="F331" s="57"/>
    </row>
    <row r="332" spans="1:6" x14ac:dyDescent="0.3">
      <c r="A332" s="55" t="s">
        <v>57</v>
      </c>
      <c r="B332" s="56">
        <v>103</v>
      </c>
      <c r="C332" s="56">
        <v>74</v>
      </c>
      <c r="D332" s="57">
        <f t="shared" si="4"/>
        <v>0.71844660194174759</v>
      </c>
      <c r="E332" s="59" t="s">
        <v>83</v>
      </c>
      <c r="F332" s="57"/>
    </row>
    <row r="333" spans="1:6" x14ac:dyDescent="0.3">
      <c r="A333" s="55" t="s">
        <v>63</v>
      </c>
      <c r="B333" s="56">
        <v>29</v>
      </c>
      <c r="C333" s="56">
        <v>18</v>
      </c>
      <c r="D333" s="57">
        <f t="shared" si="4"/>
        <v>0.62068965517241381</v>
      </c>
      <c r="E333" s="59" t="s">
        <v>83</v>
      </c>
      <c r="F333" s="57"/>
    </row>
    <row r="334" spans="1:6" x14ac:dyDescent="0.3">
      <c r="A334" s="55" t="s">
        <v>58</v>
      </c>
      <c r="B334" s="56">
        <v>158</v>
      </c>
      <c r="C334" s="56">
        <v>121</v>
      </c>
      <c r="D334" s="57">
        <f t="shared" si="4"/>
        <v>0.76582278481012656</v>
      </c>
      <c r="E334" s="59" t="s">
        <v>83</v>
      </c>
      <c r="F334" s="57"/>
    </row>
    <row r="335" spans="1:6" x14ac:dyDescent="0.3">
      <c r="A335" s="55" t="s">
        <v>35</v>
      </c>
      <c r="B335" s="56">
        <v>1214</v>
      </c>
      <c r="C335" s="56">
        <v>708</v>
      </c>
      <c r="D335" s="57">
        <f t="shared" si="4"/>
        <v>0.58319604612850084</v>
      </c>
      <c r="E335" s="59" t="s">
        <v>83</v>
      </c>
      <c r="F335" s="57"/>
    </row>
    <row r="336" spans="1:6" x14ac:dyDescent="0.3">
      <c r="A336" s="55" t="s">
        <v>36</v>
      </c>
      <c r="B336" s="56">
        <v>1174</v>
      </c>
      <c r="C336" s="56">
        <v>650</v>
      </c>
      <c r="D336" s="57">
        <f t="shared" si="4"/>
        <v>0.55366269165247017</v>
      </c>
      <c r="E336" s="59" t="s">
        <v>83</v>
      </c>
      <c r="F336" s="57"/>
    </row>
    <row r="337" spans="1:6" x14ac:dyDescent="0.3">
      <c r="A337" s="55" t="s">
        <v>64</v>
      </c>
      <c r="B337" s="56">
        <v>1380</v>
      </c>
      <c r="C337" s="56">
        <v>844</v>
      </c>
      <c r="D337" s="57">
        <f t="shared" si="4"/>
        <v>0.61159420289855071</v>
      </c>
      <c r="E337" s="59" t="s">
        <v>83</v>
      </c>
      <c r="F337" s="57"/>
    </row>
    <row r="338" spans="1:6" x14ac:dyDescent="0.3">
      <c r="A338" s="55" t="s">
        <v>59</v>
      </c>
      <c r="B338" s="56">
        <v>235</v>
      </c>
      <c r="C338" s="56">
        <v>162</v>
      </c>
      <c r="D338" s="57">
        <f t="shared" si="4"/>
        <v>0.68936170212765957</v>
      </c>
      <c r="E338" s="59" t="s">
        <v>83</v>
      </c>
      <c r="F338" s="57"/>
    </row>
    <row r="339" spans="1:6" x14ac:dyDescent="0.3">
      <c r="A339" s="55" t="s">
        <v>60</v>
      </c>
      <c r="B339" s="56">
        <v>700</v>
      </c>
      <c r="C339" s="56">
        <v>482</v>
      </c>
      <c r="D339" s="57">
        <f t="shared" si="4"/>
        <v>0.68857142857142861</v>
      </c>
      <c r="E339" s="59" t="s">
        <v>83</v>
      </c>
      <c r="F339" s="57"/>
    </row>
    <row r="340" spans="1:6" x14ac:dyDescent="0.3">
      <c r="A340" s="55" t="s">
        <v>37</v>
      </c>
      <c r="B340" s="56">
        <v>339</v>
      </c>
      <c r="C340" s="56">
        <v>254</v>
      </c>
      <c r="D340" s="57">
        <f t="shared" si="4"/>
        <v>0.74926253687315636</v>
      </c>
      <c r="E340" s="59" t="s">
        <v>83</v>
      </c>
      <c r="F340" s="57"/>
    </row>
    <row r="341" spans="1:6" x14ac:dyDescent="0.3">
      <c r="A341" s="55" t="s">
        <v>61</v>
      </c>
      <c r="B341" s="56">
        <v>30</v>
      </c>
      <c r="C341" s="56">
        <v>24</v>
      </c>
      <c r="D341" s="57">
        <f t="shared" si="4"/>
        <v>0.8</v>
      </c>
      <c r="E341" s="59" t="s">
        <v>83</v>
      </c>
      <c r="F341" s="57"/>
    </row>
    <row r="342" spans="1:6" x14ac:dyDescent="0.3">
      <c r="A342" s="55" t="s">
        <v>62</v>
      </c>
      <c r="B342" s="56">
        <v>157</v>
      </c>
      <c r="C342" s="56">
        <v>106</v>
      </c>
      <c r="D342" s="57">
        <f t="shared" si="4"/>
        <v>0.67515923566878977</v>
      </c>
      <c r="E342" s="59" t="s">
        <v>83</v>
      </c>
      <c r="F342" s="57"/>
    </row>
    <row r="343" spans="1:6" x14ac:dyDescent="0.3">
      <c r="A343" s="55" t="s">
        <v>30</v>
      </c>
      <c r="B343" s="56">
        <v>7000</v>
      </c>
      <c r="C343" s="56">
        <v>4694</v>
      </c>
      <c r="D343" s="57">
        <f t="shared" si="4"/>
        <v>0.6705714285714286</v>
      </c>
      <c r="E343" s="59" t="s">
        <v>84</v>
      </c>
      <c r="F343" s="57"/>
    </row>
    <row r="344" spans="1:6" x14ac:dyDescent="0.3">
      <c r="A344" s="55" t="s">
        <v>31</v>
      </c>
      <c r="B344" s="56">
        <v>580</v>
      </c>
      <c r="C344" s="56">
        <v>331</v>
      </c>
      <c r="D344" s="57">
        <f t="shared" si="4"/>
        <v>0.57068965517241377</v>
      </c>
      <c r="E344" s="59" t="s">
        <v>84</v>
      </c>
      <c r="F344" s="57"/>
    </row>
    <row r="345" spans="1:6" x14ac:dyDescent="0.3">
      <c r="A345" s="55" t="s">
        <v>32</v>
      </c>
      <c r="B345" s="56">
        <v>69</v>
      </c>
      <c r="C345" s="56">
        <v>34</v>
      </c>
      <c r="D345" s="57">
        <f t="shared" si="4"/>
        <v>0.49275362318840582</v>
      </c>
      <c r="E345" s="59" t="s">
        <v>84</v>
      </c>
      <c r="F345" s="57"/>
    </row>
    <row r="346" spans="1:6" x14ac:dyDescent="0.3">
      <c r="A346" s="55" t="s">
        <v>33</v>
      </c>
      <c r="B346" s="56">
        <v>804</v>
      </c>
      <c r="C346" s="56">
        <v>724</v>
      </c>
      <c r="D346" s="57">
        <f t="shared" si="4"/>
        <v>0.90049751243781095</v>
      </c>
      <c r="E346" s="59" t="s">
        <v>84</v>
      </c>
      <c r="F346" s="57"/>
    </row>
    <row r="347" spans="1:6" x14ac:dyDescent="0.3">
      <c r="A347" s="55" t="s">
        <v>57</v>
      </c>
      <c r="B347" s="56">
        <v>153</v>
      </c>
      <c r="C347" s="56">
        <v>108</v>
      </c>
      <c r="D347" s="57">
        <f t="shared" si="4"/>
        <v>0.70588235294117652</v>
      </c>
      <c r="E347" s="59" t="s">
        <v>84</v>
      </c>
      <c r="F347" s="57"/>
    </row>
    <row r="348" spans="1:6" x14ac:dyDescent="0.3">
      <c r="A348" s="55" t="s">
        <v>58</v>
      </c>
      <c r="B348" s="56">
        <v>128</v>
      </c>
      <c r="C348" s="56">
        <v>105</v>
      </c>
      <c r="D348" s="57">
        <f t="shared" si="4"/>
        <v>0.8203125</v>
      </c>
      <c r="E348" s="59" t="s">
        <v>84</v>
      </c>
      <c r="F348" s="57"/>
    </row>
    <row r="349" spans="1:6" x14ac:dyDescent="0.3">
      <c r="A349" s="55" t="s">
        <v>35</v>
      </c>
      <c r="B349" s="56">
        <v>1233</v>
      </c>
      <c r="C349" s="56">
        <v>807</v>
      </c>
      <c r="D349" s="57">
        <f t="shared" si="4"/>
        <v>0.65450121654501214</v>
      </c>
      <c r="E349" s="59" t="s">
        <v>84</v>
      </c>
      <c r="F349" s="57"/>
    </row>
    <row r="350" spans="1:6" x14ac:dyDescent="0.3">
      <c r="A350" s="55" t="s">
        <v>36</v>
      </c>
      <c r="B350" s="56">
        <v>1104</v>
      </c>
      <c r="C350" s="56">
        <v>677</v>
      </c>
      <c r="D350" s="57">
        <f t="shared" si="4"/>
        <v>0.61322463768115942</v>
      </c>
      <c r="E350" s="59" t="s">
        <v>84</v>
      </c>
      <c r="F350" s="57"/>
    </row>
    <row r="351" spans="1:6" x14ac:dyDescent="0.3">
      <c r="A351" s="55" t="s">
        <v>64</v>
      </c>
      <c r="B351" s="56">
        <v>1340</v>
      </c>
      <c r="C351" s="56">
        <v>821</v>
      </c>
      <c r="D351" s="57">
        <f t="shared" si="4"/>
        <v>0.61268656716417913</v>
      </c>
      <c r="E351" s="59" t="s">
        <v>84</v>
      </c>
      <c r="F351" s="57"/>
    </row>
    <row r="352" spans="1:6" x14ac:dyDescent="0.3">
      <c r="A352" s="55" t="s">
        <v>59</v>
      </c>
      <c r="B352" s="56">
        <v>366</v>
      </c>
      <c r="C352" s="56">
        <v>227</v>
      </c>
      <c r="D352" s="57">
        <f t="shared" si="4"/>
        <v>0.6202185792349727</v>
      </c>
      <c r="E352" s="59" t="s">
        <v>84</v>
      </c>
      <c r="F352" s="57"/>
    </row>
    <row r="353" spans="1:6" x14ac:dyDescent="0.3">
      <c r="A353" s="55" t="s">
        <v>60</v>
      </c>
      <c r="B353" s="56">
        <v>612</v>
      </c>
      <c r="C353" s="56">
        <v>448</v>
      </c>
      <c r="D353" s="57">
        <f t="shared" si="4"/>
        <v>0.73202614379084963</v>
      </c>
      <c r="E353" s="59" t="s">
        <v>84</v>
      </c>
      <c r="F353" s="57"/>
    </row>
    <row r="354" spans="1:6" x14ac:dyDescent="0.3">
      <c r="A354" s="55" t="s">
        <v>37</v>
      </c>
      <c r="B354" s="56">
        <v>455</v>
      </c>
      <c r="C354" s="56">
        <v>306</v>
      </c>
      <c r="D354" s="57">
        <f t="shared" si="4"/>
        <v>0.67252747252747258</v>
      </c>
      <c r="E354" s="59" t="s">
        <v>84</v>
      </c>
      <c r="F354" s="57"/>
    </row>
    <row r="355" spans="1:6" x14ac:dyDescent="0.3">
      <c r="A355" s="55" t="s">
        <v>61</v>
      </c>
      <c r="B355" s="56">
        <v>15</v>
      </c>
      <c r="C355" s="56">
        <v>13</v>
      </c>
      <c r="D355" s="57">
        <f t="shared" si="4"/>
        <v>0.8666666666666667</v>
      </c>
      <c r="E355" s="59" t="s">
        <v>84</v>
      </c>
      <c r="F355" s="57"/>
    </row>
    <row r="356" spans="1:6" x14ac:dyDescent="0.3">
      <c r="A356" s="55" t="s">
        <v>62</v>
      </c>
      <c r="B356" s="56">
        <v>141</v>
      </c>
      <c r="C356" s="56">
        <v>93</v>
      </c>
      <c r="D356" s="57">
        <f t="shared" si="4"/>
        <v>0.65957446808510634</v>
      </c>
      <c r="E356" s="59" t="s">
        <v>84</v>
      </c>
      <c r="F356" s="57"/>
    </row>
    <row r="357" spans="1:6" x14ac:dyDescent="0.3">
      <c r="A357" s="55" t="s">
        <v>30</v>
      </c>
      <c r="B357" s="56">
        <v>6895</v>
      </c>
      <c r="C357" s="56">
        <v>4638</v>
      </c>
      <c r="D357" s="57">
        <f t="shared" si="4"/>
        <v>0.67266134880348083</v>
      </c>
      <c r="E357" s="59" t="s">
        <v>85</v>
      </c>
    </row>
    <row r="358" spans="1:6" x14ac:dyDescent="0.3">
      <c r="A358" s="55" t="s">
        <v>31</v>
      </c>
      <c r="B358" s="56">
        <v>461</v>
      </c>
      <c r="C358" s="56">
        <v>303</v>
      </c>
      <c r="D358" s="57">
        <f t="shared" si="4"/>
        <v>0.65726681127982645</v>
      </c>
      <c r="E358" s="59" t="s">
        <v>85</v>
      </c>
    </row>
    <row r="359" spans="1:6" x14ac:dyDescent="0.3">
      <c r="A359" s="55" t="s">
        <v>32</v>
      </c>
      <c r="B359" s="56">
        <v>33</v>
      </c>
      <c r="C359" s="56">
        <v>20</v>
      </c>
      <c r="D359" s="57">
        <f t="shared" si="4"/>
        <v>0.60606060606060608</v>
      </c>
      <c r="E359" s="59" t="s">
        <v>85</v>
      </c>
    </row>
    <row r="360" spans="1:6" x14ac:dyDescent="0.3">
      <c r="A360" s="55" t="s">
        <v>33</v>
      </c>
      <c r="B360" s="56">
        <v>758</v>
      </c>
      <c r="C360" s="56">
        <v>669</v>
      </c>
      <c r="D360" s="57">
        <f t="shared" si="4"/>
        <v>0.88258575197889177</v>
      </c>
      <c r="E360" s="59" t="s">
        <v>85</v>
      </c>
    </row>
    <row r="361" spans="1:6" x14ac:dyDescent="0.3">
      <c r="A361" s="55" t="s">
        <v>57</v>
      </c>
      <c r="B361" s="56">
        <v>194</v>
      </c>
      <c r="C361" s="56">
        <v>119</v>
      </c>
      <c r="D361" s="57">
        <f t="shared" si="4"/>
        <v>0.61340206185567014</v>
      </c>
      <c r="E361" s="59" t="s">
        <v>85</v>
      </c>
    </row>
    <row r="362" spans="1:6" x14ac:dyDescent="0.3">
      <c r="A362" s="55" t="s">
        <v>63</v>
      </c>
      <c r="B362" s="56">
        <v>65</v>
      </c>
      <c r="C362" s="56">
        <v>24</v>
      </c>
      <c r="D362" s="57">
        <f t="shared" si="4"/>
        <v>0.36923076923076925</v>
      </c>
      <c r="E362" s="59" t="s">
        <v>85</v>
      </c>
    </row>
    <row r="363" spans="1:6" x14ac:dyDescent="0.3">
      <c r="A363" s="55" t="s">
        <v>58</v>
      </c>
      <c r="B363" s="56">
        <v>120</v>
      </c>
      <c r="C363" s="56">
        <v>102</v>
      </c>
      <c r="D363" s="57">
        <f t="shared" si="4"/>
        <v>0.85</v>
      </c>
      <c r="E363" s="59" t="s">
        <v>85</v>
      </c>
    </row>
    <row r="364" spans="1:6" x14ac:dyDescent="0.3">
      <c r="A364" s="55" t="s">
        <v>35</v>
      </c>
      <c r="B364" s="56">
        <v>1354</v>
      </c>
      <c r="C364" s="56">
        <v>920</v>
      </c>
      <c r="D364" s="57">
        <f t="shared" si="4"/>
        <v>0.67946824224519942</v>
      </c>
      <c r="E364" s="59" t="s">
        <v>85</v>
      </c>
    </row>
    <row r="365" spans="1:6" x14ac:dyDescent="0.3">
      <c r="A365" s="55" t="s">
        <v>36</v>
      </c>
      <c r="B365" s="56">
        <v>1289</v>
      </c>
      <c r="C365" s="56">
        <v>725</v>
      </c>
      <c r="D365" s="57">
        <f t="shared" si="4"/>
        <v>0.56245151280062067</v>
      </c>
      <c r="E365" s="59" t="s">
        <v>85</v>
      </c>
    </row>
    <row r="366" spans="1:6" x14ac:dyDescent="0.3">
      <c r="A366" s="55" t="s">
        <v>64</v>
      </c>
      <c r="B366" s="56">
        <v>1228</v>
      </c>
      <c r="C366" s="56">
        <v>791</v>
      </c>
      <c r="D366" s="57">
        <f t="shared" si="4"/>
        <v>0.64413680781758953</v>
      </c>
      <c r="E366" s="59" t="s">
        <v>85</v>
      </c>
    </row>
    <row r="367" spans="1:6" x14ac:dyDescent="0.3">
      <c r="A367" s="55" t="s">
        <v>59</v>
      </c>
      <c r="B367" s="56">
        <v>336</v>
      </c>
      <c r="C367" s="56">
        <v>206</v>
      </c>
      <c r="D367" s="57">
        <f t="shared" si="4"/>
        <v>0.61309523809523814</v>
      </c>
      <c r="E367" s="59" t="s">
        <v>85</v>
      </c>
    </row>
    <row r="368" spans="1:6" x14ac:dyDescent="0.3">
      <c r="A368" s="55" t="s">
        <v>60</v>
      </c>
      <c r="B368" s="56">
        <v>602</v>
      </c>
      <c r="C368" s="56">
        <v>405</v>
      </c>
      <c r="D368" s="57">
        <f t="shared" si="4"/>
        <v>0.6727574750830565</v>
      </c>
      <c r="E368" s="59" t="s">
        <v>85</v>
      </c>
    </row>
    <row r="369" spans="1:7" x14ac:dyDescent="0.3">
      <c r="A369" s="55" t="s">
        <v>37</v>
      </c>
      <c r="B369" s="56">
        <v>436</v>
      </c>
      <c r="C369" s="56">
        <v>340</v>
      </c>
      <c r="D369" s="57">
        <f t="shared" si="4"/>
        <v>0.77981651376146788</v>
      </c>
      <c r="E369" s="59" t="s">
        <v>85</v>
      </c>
    </row>
    <row r="370" spans="1:7" x14ac:dyDescent="0.3">
      <c r="A370" s="55" t="s">
        <v>61</v>
      </c>
      <c r="B370" s="56">
        <v>19</v>
      </c>
      <c r="C370" s="56">
        <v>14</v>
      </c>
      <c r="D370" s="57">
        <f t="shared" si="4"/>
        <v>0.73684210526315785</v>
      </c>
      <c r="E370" s="59" t="s">
        <v>85</v>
      </c>
    </row>
    <row r="371" spans="1:7" x14ac:dyDescent="0.3">
      <c r="A371" s="55" t="s">
        <v>30</v>
      </c>
      <c r="B371" s="56">
        <v>6413</v>
      </c>
      <c r="C371" s="56">
        <v>5573</v>
      </c>
      <c r="D371" s="57">
        <f t="shared" si="4"/>
        <v>0.86901606112583818</v>
      </c>
      <c r="E371" s="59" t="s">
        <v>86</v>
      </c>
    </row>
    <row r="372" spans="1:7" x14ac:dyDescent="0.3">
      <c r="A372" s="55" t="s">
        <v>31</v>
      </c>
      <c r="B372" s="56">
        <v>548</v>
      </c>
      <c r="C372" s="56">
        <v>487</v>
      </c>
      <c r="D372" s="57">
        <f t="shared" si="4"/>
        <v>0.88868613138686137</v>
      </c>
      <c r="E372" s="59" t="s">
        <v>86</v>
      </c>
      <c r="F372"/>
      <c r="G372"/>
    </row>
    <row r="373" spans="1:7" x14ac:dyDescent="0.3">
      <c r="A373" s="55" t="s">
        <v>32</v>
      </c>
      <c r="B373" s="56">
        <v>39</v>
      </c>
      <c r="C373" s="56">
        <v>34</v>
      </c>
      <c r="D373" s="57">
        <f t="shared" si="4"/>
        <v>0.87179487179487181</v>
      </c>
      <c r="E373" s="59" t="s">
        <v>86</v>
      </c>
      <c r="F373"/>
      <c r="G373"/>
    </row>
    <row r="374" spans="1:7" x14ac:dyDescent="0.3">
      <c r="A374" s="55" t="s">
        <v>33</v>
      </c>
      <c r="B374" s="56">
        <v>612</v>
      </c>
      <c r="C374" s="56">
        <v>582</v>
      </c>
      <c r="D374" s="57">
        <f t="shared" si="4"/>
        <v>0.9509803921568627</v>
      </c>
      <c r="E374" s="59" t="s">
        <v>86</v>
      </c>
      <c r="F374"/>
      <c r="G374"/>
    </row>
    <row r="375" spans="1:7" x14ac:dyDescent="0.3">
      <c r="A375" s="55" t="s">
        <v>57</v>
      </c>
      <c r="B375" s="56">
        <v>106</v>
      </c>
      <c r="C375" s="56">
        <v>95</v>
      </c>
      <c r="D375" s="57">
        <f t="shared" si="4"/>
        <v>0.89622641509433965</v>
      </c>
      <c r="E375" s="59" t="s">
        <v>86</v>
      </c>
      <c r="F375"/>
      <c r="G375"/>
    </row>
    <row r="376" spans="1:7" x14ac:dyDescent="0.3">
      <c r="A376" s="55" t="s">
        <v>63</v>
      </c>
      <c r="B376" s="56">
        <v>9</v>
      </c>
      <c r="C376" s="56">
        <v>8</v>
      </c>
      <c r="D376" s="57">
        <f t="shared" si="4"/>
        <v>0.88888888888888884</v>
      </c>
      <c r="E376" s="59" t="s">
        <v>86</v>
      </c>
      <c r="F376"/>
      <c r="G376"/>
    </row>
    <row r="377" spans="1:7" x14ac:dyDescent="0.3">
      <c r="A377" s="55" t="s">
        <v>58</v>
      </c>
      <c r="B377" s="56">
        <v>99</v>
      </c>
      <c r="C377" s="56">
        <v>73</v>
      </c>
      <c r="D377" s="57">
        <f t="shared" si="4"/>
        <v>0.73737373737373735</v>
      </c>
      <c r="E377" s="59" t="s">
        <v>86</v>
      </c>
      <c r="F377"/>
      <c r="G377"/>
    </row>
    <row r="378" spans="1:7" x14ac:dyDescent="0.3">
      <c r="A378" s="55" t="s">
        <v>35</v>
      </c>
      <c r="B378" s="56">
        <v>1499</v>
      </c>
      <c r="C378" s="56">
        <v>1287</v>
      </c>
      <c r="D378" s="57">
        <f t="shared" si="4"/>
        <v>0.8585723815877252</v>
      </c>
      <c r="E378" s="59" t="s">
        <v>86</v>
      </c>
      <c r="F378"/>
      <c r="G378"/>
    </row>
    <row r="379" spans="1:7" x14ac:dyDescent="0.3">
      <c r="A379" s="55" t="s">
        <v>36</v>
      </c>
      <c r="B379" s="56">
        <v>1107</v>
      </c>
      <c r="C379" s="56">
        <v>981</v>
      </c>
      <c r="D379" s="57">
        <f t="shared" si="4"/>
        <v>0.88617886178861793</v>
      </c>
      <c r="E379" s="59" t="s">
        <v>86</v>
      </c>
      <c r="F379"/>
      <c r="G379"/>
    </row>
    <row r="380" spans="1:7" x14ac:dyDescent="0.3">
      <c r="A380" s="55" t="s">
        <v>64</v>
      </c>
      <c r="B380" s="56">
        <v>1047</v>
      </c>
      <c r="C380" s="56">
        <v>975</v>
      </c>
      <c r="D380" s="57">
        <f t="shared" si="4"/>
        <v>0.93123209169054444</v>
      </c>
      <c r="E380" s="59" t="s">
        <v>86</v>
      </c>
      <c r="F380"/>
      <c r="G380"/>
    </row>
    <row r="381" spans="1:7" x14ac:dyDescent="0.3">
      <c r="A381" s="55" t="s">
        <v>59</v>
      </c>
      <c r="B381" s="56">
        <v>450</v>
      </c>
      <c r="C381" s="56">
        <v>384</v>
      </c>
      <c r="D381" s="57">
        <f t="shared" si="4"/>
        <v>0.85333333333333339</v>
      </c>
      <c r="E381" s="59" t="s">
        <v>86</v>
      </c>
      <c r="F381"/>
      <c r="G381"/>
    </row>
    <row r="382" spans="1:7" x14ac:dyDescent="0.3">
      <c r="A382" s="55" t="s">
        <v>60</v>
      </c>
      <c r="B382" s="56">
        <v>528</v>
      </c>
      <c r="C382" s="56">
        <v>345</v>
      </c>
      <c r="D382" s="57">
        <f t="shared" si="4"/>
        <v>0.65340909090909094</v>
      </c>
      <c r="E382" s="59" t="s">
        <v>86</v>
      </c>
      <c r="F382"/>
      <c r="G382"/>
    </row>
    <row r="383" spans="1:7" x14ac:dyDescent="0.3">
      <c r="A383" s="55" t="s">
        <v>37</v>
      </c>
      <c r="B383" s="56">
        <v>355</v>
      </c>
      <c r="C383" s="56">
        <v>309</v>
      </c>
      <c r="D383" s="57">
        <f t="shared" si="4"/>
        <v>0.87042253521126756</v>
      </c>
      <c r="E383" s="59" t="s">
        <v>86</v>
      </c>
      <c r="F383"/>
      <c r="G383"/>
    </row>
    <row r="384" spans="1:7" x14ac:dyDescent="0.3">
      <c r="A384" s="55" t="s">
        <v>61</v>
      </c>
      <c r="B384" s="56">
        <v>14</v>
      </c>
      <c r="C384" s="56">
        <v>13</v>
      </c>
      <c r="D384" s="57">
        <f t="shared" si="4"/>
        <v>0.9285714285714286</v>
      </c>
      <c r="E384" s="59" t="s">
        <v>86</v>
      </c>
      <c r="F384"/>
      <c r="G384"/>
    </row>
    <row r="385" spans="1:7" x14ac:dyDescent="0.3">
      <c r="A385" s="55" t="s">
        <v>30</v>
      </c>
      <c r="B385" s="56">
        <v>6884</v>
      </c>
      <c r="C385" s="56">
        <v>5025</v>
      </c>
      <c r="D385" s="57">
        <f t="shared" si="4"/>
        <v>0.72995351539802444</v>
      </c>
      <c r="E385" s="59" t="s">
        <v>87</v>
      </c>
      <c r="F385" s="57"/>
    </row>
    <row r="386" spans="1:7" x14ac:dyDescent="0.3">
      <c r="A386" s="55" t="s">
        <v>31</v>
      </c>
      <c r="B386" s="56">
        <v>566</v>
      </c>
      <c r="C386" s="56">
        <v>419</v>
      </c>
      <c r="D386" s="57">
        <f t="shared" si="4"/>
        <v>0.74028268551236753</v>
      </c>
      <c r="E386" s="59" t="s">
        <v>87</v>
      </c>
      <c r="F386" s="57"/>
    </row>
    <row r="387" spans="1:7" x14ac:dyDescent="0.3">
      <c r="A387" s="55" t="s">
        <v>32</v>
      </c>
      <c r="B387" s="56">
        <v>38</v>
      </c>
      <c r="C387" s="56">
        <v>28</v>
      </c>
      <c r="D387" s="57">
        <f t="shared" si="4"/>
        <v>0.73684210526315785</v>
      </c>
      <c r="E387" s="59" t="s">
        <v>87</v>
      </c>
      <c r="F387" s="57"/>
    </row>
    <row r="388" spans="1:7" x14ac:dyDescent="0.3">
      <c r="A388" s="55" t="s">
        <v>33</v>
      </c>
      <c r="B388" s="56">
        <v>703</v>
      </c>
      <c r="C388" s="56">
        <v>647</v>
      </c>
      <c r="D388" s="57">
        <f t="shared" si="4"/>
        <v>0.92034139402560455</v>
      </c>
      <c r="E388" s="59" t="s">
        <v>87</v>
      </c>
      <c r="F388" s="57"/>
    </row>
    <row r="389" spans="1:7" x14ac:dyDescent="0.3">
      <c r="A389" s="55" t="s">
        <v>57</v>
      </c>
      <c r="B389" s="56">
        <v>54</v>
      </c>
      <c r="C389" s="56">
        <v>37</v>
      </c>
      <c r="D389" s="57">
        <f t="shared" si="4"/>
        <v>0.68518518518518523</v>
      </c>
      <c r="E389" s="59" t="s">
        <v>87</v>
      </c>
      <c r="F389" s="57"/>
    </row>
    <row r="390" spans="1:7" x14ac:dyDescent="0.3">
      <c r="A390" s="55" t="s">
        <v>58</v>
      </c>
      <c r="B390" s="56">
        <v>111</v>
      </c>
      <c r="C390" s="56">
        <v>84</v>
      </c>
      <c r="D390" s="57">
        <f t="shared" si="4"/>
        <v>0.7567567567567568</v>
      </c>
      <c r="E390" s="59" t="s">
        <v>87</v>
      </c>
      <c r="F390" s="57"/>
    </row>
    <row r="391" spans="1:7" x14ac:dyDescent="0.3">
      <c r="A391" s="55" t="s">
        <v>35</v>
      </c>
      <c r="B391" s="56">
        <v>1362</v>
      </c>
      <c r="C391" s="56">
        <v>991</v>
      </c>
      <c r="D391" s="57">
        <f t="shared" si="4"/>
        <v>0.72760646108663729</v>
      </c>
      <c r="E391" s="59" t="s">
        <v>87</v>
      </c>
      <c r="F391" s="57"/>
    </row>
    <row r="392" spans="1:7" x14ac:dyDescent="0.3">
      <c r="A392" s="55" t="s">
        <v>36</v>
      </c>
      <c r="B392" s="56">
        <v>1414</v>
      </c>
      <c r="C392" s="56">
        <v>889</v>
      </c>
      <c r="D392" s="57">
        <f t="shared" si="4"/>
        <v>0.62871287128712872</v>
      </c>
      <c r="E392" s="59" t="s">
        <v>87</v>
      </c>
      <c r="F392" s="57"/>
    </row>
    <row r="393" spans="1:7" x14ac:dyDescent="0.3">
      <c r="A393" s="55" t="s">
        <v>64</v>
      </c>
      <c r="B393" s="56">
        <v>1081</v>
      </c>
      <c r="C393" s="56">
        <v>793</v>
      </c>
      <c r="D393" s="57">
        <f t="shared" si="4"/>
        <v>0.73358001850138765</v>
      </c>
      <c r="E393" s="59" t="s">
        <v>87</v>
      </c>
      <c r="F393" s="57"/>
    </row>
    <row r="394" spans="1:7" x14ac:dyDescent="0.3">
      <c r="A394" s="55" t="s">
        <v>59</v>
      </c>
      <c r="B394" s="56">
        <v>573</v>
      </c>
      <c r="C394" s="56">
        <v>397</v>
      </c>
      <c r="D394" s="57">
        <f t="shared" ref="D394:D397" si="5">SUM(C394/B394)</f>
        <v>0.6928446771378709</v>
      </c>
      <c r="E394" s="59" t="s">
        <v>87</v>
      </c>
      <c r="F394" s="57"/>
    </row>
    <row r="395" spans="1:7" x14ac:dyDescent="0.3">
      <c r="A395" s="55" t="s">
        <v>60</v>
      </c>
      <c r="B395" s="56">
        <v>570</v>
      </c>
      <c r="C395" s="56">
        <v>410</v>
      </c>
      <c r="D395" s="57">
        <f t="shared" si="5"/>
        <v>0.7192982456140351</v>
      </c>
      <c r="E395" s="59" t="s">
        <v>87</v>
      </c>
      <c r="F395" s="57"/>
    </row>
    <row r="396" spans="1:7" x14ac:dyDescent="0.3">
      <c r="A396" s="55" t="s">
        <v>37</v>
      </c>
      <c r="B396" s="56">
        <v>343</v>
      </c>
      <c r="C396" s="56">
        <v>263</v>
      </c>
      <c r="D396" s="57">
        <f t="shared" si="5"/>
        <v>0.76676384839650147</v>
      </c>
      <c r="E396" s="59" t="s">
        <v>87</v>
      </c>
      <c r="F396" s="57"/>
    </row>
    <row r="397" spans="1:7" x14ac:dyDescent="0.3">
      <c r="A397" s="55" t="s">
        <v>61</v>
      </c>
      <c r="B397" s="56">
        <v>69</v>
      </c>
      <c r="C397" s="56">
        <v>67</v>
      </c>
      <c r="D397" s="57">
        <f t="shared" si="5"/>
        <v>0.97101449275362317</v>
      </c>
      <c r="E397" s="59" t="s">
        <v>87</v>
      </c>
      <c r="F397" s="57"/>
    </row>
    <row r="398" spans="1:7" x14ac:dyDescent="0.3">
      <c r="A398" s="55" t="s">
        <v>30</v>
      </c>
      <c r="B398" s="56">
        <v>6428</v>
      </c>
      <c r="C398" s="56">
        <v>4727</v>
      </c>
      <c r="D398" s="57">
        <f t="shared" ref="D398:D410" si="6">SUM(C398/B398)</f>
        <v>0.73537647790914751</v>
      </c>
      <c r="E398" s="59" t="s">
        <v>88</v>
      </c>
      <c r="F398" s="57"/>
    </row>
    <row r="399" spans="1:7" x14ac:dyDescent="0.3">
      <c r="A399" s="55" t="s">
        <v>31</v>
      </c>
      <c r="B399" s="56">
        <v>428</v>
      </c>
      <c r="C399" s="56">
        <v>320</v>
      </c>
      <c r="D399" s="57">
        <f t="shared" si="6"/>
        <v>0.74766355140186913</v>
      </c>
      <c r="E399" s="59" t="s">
        <v>88</v>
      </c>
      <c r="F399" s="57"/>
      <c r="G399"/>
    </row>
    <row r="400" spans="1:7" x14ac:dyDescent="0.3">
      <c r="A400" s="55" t="s">
        <v>32</v>
      </c>
      <c r="B400" s="56">
        <v>51</v>
      </c>
      <c r="C400" s="56">
        <v>44</v>
      </c>
      <c r="D400" s="57">
        <f t="shared" si="6"/>
        <v>0.86274509803921573</v>
      </c>
      <c r="E400" s="59" t="s">
        <v>88</v>
      </c>
      <c r="F400" s="57"/>
      <c r="G400"/>
    </row>
    <row r="401" spans="1:7" x14ac:dyDescent="0.3">
      <c r="A401" s="55" t="s">
        <v>33</v>
      </c>
      <c r="B401" s="56">
        <v>742</v>
      </c>
      <c r="C401" s="56">
        <v>679</v>
      </c>
      <c r="D401" s="57">
        <f t="shared" si="6"/>
        <v>0.91509433962264153</v>
      </c>
      <c r="E401" s="59" t="s">
        <v>88</v>
      </c>
      <c r="F401" s="57"/>
      <c r="G401"/>
    </row>
    <row r="402" spans="1:7" x14ac:dyDescent="0.3">
      <c r="A402" s="55" t="s">
        <v>57</v>
      </c>
      <c r="B402" s="56">
        <v>66</v>
      </c>
      <c r="C402" s="56">
        <v>46</v>
      </c>
      <c r="D402" s="57">
        <f t="shared" si="6"/>
        <v>0.69696969696969702</v>
      </c>
      <c r="E402" s="59" t="s">
        <v>88</v>
      </c>
      <c r="F402" s="57"/>
      <c r="G402"/>
    </row>
    <row r="403" spans="1:7" x14ac:dyDescent="0.3">
      <c r="A403" s="55" t="s">
        <v>58</v>
      </c>
      <c r="B403" s="56">
        <v>126</v>
      </c>
      <c r="C403" s="56">
        <v>94</v>
      </c>
      <c r="D403" s="57">
        <f t="shared" si="6"/>
        <v>0.74603174603174605</v>
      </c>
      <c r="E403" s="59" t="s">
        <v>88</v>
      </c>
      <c r="F403" s="57"/>
      <c r="G403"/>
    </row>
    <row r="404" spans="1:7" x14ac:dyDescent="0.3">
      <c r="A404" s="55" t="s">
        <v>35</v>
      </c>
      <c r="B404" s="56">
        <v>1431</v>
      </c>
      <c r="C404" s="56">
        <v>1048</v>
      </c>
      <c r="D404" s="57">
        <f t="shared" si="6"/>
        <v>0.73235499650593994</v>
      </c>
      <c r="E404" s="59" t="s">
        <v>88</v>
      </c>
      <c r="F404" s="57"/>
      <c r="G404"/>
    </row>
    <row r="405" spans="1:7" x14ac:dyDescent="0.3">
      <c r="A405" s="55" t="s">
        <v>36</v>
      </c>
      <c r="B405" s="56">
        <v>1216</v>
      </c>
      <c r="C405" s="56">
        <v>714</v>
      </c>
      <c r="D405" s="57">
        <f t="shared" si="6"/>
        <v>0.58717105263157898</v>
      </c>
      <c r="E405" s="59" t="s">
        <v>88</v>
      </c>
      <c r="F405" s="57"/>
      <c r="G405"/>
    </row>
    <row r="406" spans="1:7" x14ac:dyDescent="0.3">
      <c r="A406" s="55" t="s">
        <v>64</v>
      </c>
      <c r="B406" s="56">
        <v>999</v>
      </c>
      <c r="C406" s="56">
        <v>760</v>
      </c>
      <c r="D406" s="57">
        <f t="shared" si="6"/>
        <v>0.76076076076076071</v>
      </c>
      <c r="E406" s="59" t="s">
        <v>88</v>
      </c>
      <c r="F406" s="57"/>
      <c r="G406"/>
    </row>
    <row r="407" spans="1:7" x14ac:dyDescent="0.3">
      <c r="A407" s="55" t="s">
        <v>59</v>
      </c>
      <c r="B407" s="56">
        <v>284</v>
      </c>
      <c r="C407" s="56">
        <v>198</v>
      </c>
      <c r="D407" s="57">
        <f t="shared" si="6"/>
        <v>0.69718309859154926</v>
      </c>
      <c r="E407" s="59" t="s">
        <v>88</v>
      </c>
      <c r="F407" s="57"/>
      <c r="G407"/>
    </row>
    <row r="408" spans="1:7" x14ac:dyDescent="0.3">
      <c r="A408" s="55" t="s">
        <v>60</v>
      </c>
      <c r="B408" s="56">
        <v>561</v>
      </c>
      <c r="C408" s="56">
        <v>425</v>
      </c>
      <c r="D408" s="57">
        <f t="shared" si="6"/>
        <v>0.75757575757575757</v>
      </c>
      <c r="E408" s="59" t="s">
        <v>88</v>
      </c>
      <c r="F408" s="57"/>
      <c r="G408"/>
    </row>
    <row r="409" spans="1:7" x14ac:dyDescent="0.3">
      <c r="A409" s="55" t="s">
        <v>37</v>
      </c>
      <c r="B409" s="56">
        <v>512</v>
      </c>
      <c r="C409" s="56">
        <v>390</v>
      </c>
      <c r="D409" s="57">
        <f t="shared" si="6"/>
        <v>0.76171875</v>
      </c>
      <c r="E409" s="59" t="s">
        <v>88</v>
      </c>
      <c r="F409" s="57"/>
      <c r="G409"/>
    </row>
    <row r="410" spans="1:7" x14ac:dyDescent="0.3">
      <c r="A410" s="55" t="s">
        <v>61</v>
      </c>
      <c r="B410" s="56">
        <v>12</v>
      </c>
      <c r="C410" s="56">
        <v>9</v>
      </c>
      <c r="D410" s="57">
        <f t="shared" si="6"/>
        <v>0.75</v>
      </c>
      <c r="E410" s="59" t="s">
        <v>88</v>
      </c>
      <c r="F410" s="57"/>
      <c r="G410"/>
    </row>
    <row r="411" spans="1:7" x14ac:dyDescent="0.3">
      <c r="A411" s="55" t="s">
        <v>30</v>
      </c>
      <c r="B411" s="56">
        <v>6446</v>
      </c>
      <c r="C411" s="56">
        <v>4705</v>
      </c>
      <c r="D411" s="57">
        <f>SUM(C411/B411)</f>
        <v>0.72991002171889541</v>
      </c>
      <c r="E411" s="59" t="s">
        <v>89</v>
      </c>
      <c r="F411" s="57"/>
    </row>
    <row r="412" spans="1:7" x14ac:dyDescent="0.3">
      <c r="A412" s="55" t="s">
        <v>31</v>
      </c>
      <c r="B412" s="56">
        <v>539</v>
      </c>
      <c r="C412" s="56">
        <v>403</v>
      </c>
      <c r="D412" s="57">
        <f t="shared" ref="D412:D475" si="7">SUM(C412/B412)</f>
        <v>0.74768089053803344</v>
      </c>
      <c r="E412" s="59" t="s">
        <v>89</v>
      </c>
      <c r="F412" s="57"/>
    </row>
    <row r="413" spans="1:7" x14ac:dyDescent="0.3">
      <c r="A413" s="55" t="s">
        <v>32</v>
      </c>
      <c r="B413" s="56">
        <v>41</v>
      </c>
      <c r="C413" s="56">
        <v>30</v>
      </c>
      <c r="D413" s="57">
        <f t="shared" si="7"/>
        <v>0.73170731707317072</v>
      </c>
      <c r="E413" s="59" t="s">
        <v>89</v>
      </c>
      <c r="F413" s="57"/>
    </row>
    <row r="414" spans="1:7" x14ac:dyDescent="0.3">
      <c r="A414" s="55" t="s">
        <v>33</v>
      </c>
      <c r="B414" s="56">
        <v>746</v>
      </c>
      <c r="C414" s="56">
        <v>661</v>
      </c>
      <c r="D414" s="57">
        <f t="shared" si="7"/>
        <v>0.886058981233244</v>
      </c>
      <c r="E414" s="59" t="s">
        <v>89</v>
      </c>
      <c r="F414" s="57"/>
    </row>
    <row r="415" spans="1:7" x14ac:dyDescent="0.3">
      <c r="A415" s="55" t="s">
        <v>57</v>
      </c>
      <c r="B415" s="56">
        <v>25</v>
      </c>
      <c r="C415" s="56">
        <v>18</v>
      </c>
      <c r="D415" s="57">
        <f t="shared" si="7"/>
        <v>0.72</v>
      </c>
      <c r="E415" s="59" t="s">
        <v>89</v>
      </c>
      <c r="F415" s="57"/>
    </row>
    <row r="416" spans="1:7" x14ac:dyDescent="0.3">
      <c r="A416" s="55" t="s">
        <v>58</v>
      </c>
      <c r="B416" s="56">
        <v>129</v>
      </c>
      <c r="C416" s="56">
        <v>98</v>
      </c>
      <c r="D416" s="57">
        <f t="shared" si="7"/>
        <v>0.75968992248062017</v>
      </c>
      <c r="E416" s="59" t="s">
        <v>89</v>
      </c>
      <c r="F416" s="57"/>
    </row>
    <row r="417" spans="1:6" x14ac:dyDescent="0.3">
      <c r="A417" s="55" t="s">
        <v>35</v>
      </c>
      <c r="B417" s="56">
        <v>1565</v>
      </c>
      <c r="C417" s="56">
        <v>1142</v>
      </c>
      <c r="D417" s="57">
        <f t="shared" si="7"/>
        <v>0.72971246006389778</v>
      </c>
      <c r="E417" s="59" t="s">
        <v>89</v>
      </c>
      <c r="F417" s="57"/>
    </row>
    <row r="418" spans="1:6" x14ac:dyDescent="0.3">
      <c r="A418" s="55" t="s">
        <v>36</v>
      </c>
      <c r="B418" s="56">
        <v>1023</v>
      </c>
      <c r="C418" s="56">
        <v>648</v>
      </c>
      <c r="D418" s="57">
        <f t="shared" si="7"/>
        <v>0.63343108504398826</v>
      </c>
      <c r="E418" s="59" t="s">
        <v>89</v>
      </c>
      <c r="F418" s="57"/>
    </row>
    <row r="419" spans="1:6" x14ac:dyDescent="0.3">
      <c r="A419" s="55" t="s">
        <v>64</v>
      </c>
      <c r="B419" s="56">
        <v>985</v>
      </c>
      <c r="C419" s="56">
        <v>696</v>
      </c>
      <c r="D419" s="57">
        <f t="shared" si="7"/>
        <v>0.70659898477157357</v>
      </c>
      <c r="E419" s="59" t="s">
        <v>89</v>
      </c>
      <c r="F419" s="57"/>
    </row>
    <row r="420" spans="1:6" x14ac:dyDescent="0.3">
      <c r="A420" s="55" t="s">
        <v>59</v>
      </c>
      <c r="B420" s="56">
        <v>438</v>
      </c>
      <c r="C420" s="56">
        <v>320</v>
      </c>
      <c r="D420" s="57">
        <f t="shared" si="7"/>
        <v>0.73059360730593603</v>
      </c>
      <c r="E420" s="59" t="s">
        <v>89</v>
      </c>
      <c r="F420" s="57"/>
    </row>
    <row r="421" spans="1:6" x14ac:dyDescent="0.3">
      <c r="A421" s="55" t="s">
        <v>60</v>
      </c>
      <c r="B421" s="56">
        <v>644</v>
      </c>
      <c r="C421" s="56">
        <v>450</v>
      </c>
      <c r="D421" s="57">
        <f t="shared" si="7"/>
        <v>0.69875776397515532</v>
      </c>
      <c r="E421" s="59" t="s">
        <v>89</v>
      </c>
      <c r="F421" s="57"/>
    </row>
    <row r="422" spans="1:6" x14ac:dyDescent="0.3">
      <c r="A422" s="55" t="s">
        <v>37</v>
      </c>
      <c r="B422" s="56">
        <v>250</v>
      </c>
      <c r="C422" s="56">
        <v>190</v>
      </c>
      <c r="D422" s="57">
        <f t="shared" si="7"/>
        <v>0.76</v>
      </c>
      <c r="E422" s="59" t="s">
        <v>89</v>
      </c>
      <c r="F422" s="57"/>
    </row>
    <row r="423" spans="1:6" x14ac:dyDescent="0.3">
      <c r="A423" s="55" t="s">
        <v>61</v>
      </c>
      <c r="B423" s="56">
        <v>0</v>
      </c>
      <c r="C423" s="56">
        <v>49</v>
      </c>
      <c r="D423" s="57" t="e">
        <f t="shared" si="7"/>
        <v>#DIV/0!</v>
      </c>
      <c r="E423" s="59" t="s">
        <v>89</v>
      </c>
      <c r="F423" s="57"/>
    </row>
    <row r="424" spans="1:6" x14ac:dyDescent="0.3">
      <c r="A424" s="55" t="s">
        <v>30</v>
      </c>
      <c r="B424" s="56">
        <v>7454</v>
      </c>
      <c r="C424" s="56">
        <v>5390</v>
      </c>
      <c r="D424" s="57">
        <f t="shared" si="7"/>
        <v>0.72310169036758787</v>
      </c>
      <c r="E424" s="59" t="s">
        <v>90</v>
      </c>
      <c r="F424" s="57"/>
    </row>
    <row r="425" spans="1:6" x14ac:dyDescent="0.3">
      <c r="A425" s="55" t="s">
        <v>31</v>
      </c>
      <c r="B425" s="56">
        <v>658</v>
      </c>
      <c r="C425" s="56">
        <v>467</v>
      </c>
      <c r="D425" s="57">
        <f t="shared" si="7"/>
        <v>0.70972644376899696</v>
      </c>
      <c r="E425" s="59" t="s">
        <v>90</v>
      </c>
      <c r="F425" s="57"/>
    </row>
    <row r="426" spans="1:6" x14ac:dyDescent="0.3">
      <c r="A426" s="55" t="s">
        <v>32</v>
      </c>
      <c r="B426" s="56">
        <v>46</v>
      </c>
      <c r="C426" s="56">
        <v>37</v>
      </c>
      <c r="D426" s="64">
        <f t="shared" si="7"/>
        <v>0.80434782608695654</v>
      </c>
      <c r="E426" s="59" t="s">
        <v>90</v>
      </c>
      <c r="F426" s="57"/>
    </row>
    <row r="427" spans="1:6" x14ac:dyDescent="0.3">
      <c r="A427" s="55" t="s">
        <v>33</v>
      </c>
      <c r="B427" s="56">
        <v>955</v>
      </c>
      <c r="C427" s="56">
        <v>869</v>
      </c>
      <c r="D427" s="64">
        <f t="shared" si="7"/>
        <v>0.90994764397905759</v>
      </c>
      <c r="E427" s="59" t="s">
        <v>90</v>
      </c>
      <c r="F427" s="57"/>
    </row>
    <row r="428" spans="1:6" x14ac:dyDescent="0.3">
      <c r="A428" s="55" t="s">
        <v>57</v>
      </c>
      <c r="B428" s="56">
        <v>48</v>
      </c>
      <c r="C428" s="56">
        <v>36</v>
      </c>
      <c r="D428" s="64">
        <f t="shared" si="7"/>
        <v>0.75</v>
      </c>
      <c r="E428" s="59" t="s">
        <v>90</v>
      </c>
      <c r="F428" s="57"/>
    </row>
    <row r="429" spans="1:6" x14ac:dyDescent="0.3">
      <c r="A429" s="55" t="s">
        <v>63</v>
      </c>
      <c r="B429" s="56">
        <v>40</v>
      </c>
      <c r="C429" s="56">
        <v>24</v>
      </c>
      <c r="D429" s="64">
        <f t="shared" si="7"/>
        <v>0.6</v>
      </c>
      <c r="E429" s="59" t="s">
        <v>90</v>
      </c>
      <c r="F429" s="57"/>
    </row>
    <row r="430" spans="1:6" x14ac:dyDescent="0.3">
      <c r="A430" s="55" t="s">
        <v>58</v>
      </c>
      <c r="B430" s="56">
        <v>122</v>
      </c>
      <c r="C430" s="56">
        <v>100</v>
      </c>
      <c r="D430" s="64">
        <f t="shared" si="7"/>
        <v>0.81967213114754101</v>
      </c>
      <c r="E430" s="59" t="s">
        <v>90</v>
      </c>
      <c r="F430" s="57"/>
    </row>
    <row r="431" spans="1:6" x14ac:dyDescent="0.3">
      <c r="A431" s="55" t="s">
        <v>35</v>
      </c>
      <c r="B431" s="56">
        <v>1495</v>
      </c>
      <c r="C431" s="56">
        <v>1072</v>
      </c>
      <c r="D431" s="64">
        <f t="shared" si="7"/>
        <v>0.71705685618729098</v>
      </c>
      <c r="E431" s="59" t="s">
        <v>90</v>
      </c>
      <c r="F431" s="57"/>
    </row>
    <row r="432" spans="1:6" x14ac:dyDescent="0.3">
      <c r="A432" s="55" t="s">
        <v>36</v>
      </c>
      <c r="B432" s="56">
        <v>1326</v>
      </c>
      <c r="C432" s="56">
        <v>835</v>
      </c>
      <c r="D432" s="64">
        <f t="shared" si="7"/>
        <v>0.62971342383107087</v>
      </c>
      <c r="E432" s="59" t="s">
        <v>90</v>
      </c>
      <c r="F432" s="57"/>
    </row>
    <row r="433" spans="1:6" x14ac:dyDescent="0.3">
      <c r="A433" s="55" t="s">
        <v>64</v>
      </c>
      <c r="B433" s="56">
        <v>1186</v>
      </c>
      <c r="C433" s="56">
        <v>838</v>
      </c>
      <c r="D433" s="64">
        <f t="shared" si="7"/>
        <v>0.70657672849915687</v>
      </c>
      <c r="E433" s="59" t="s">
        <v>90</v>
      </c>
      <c r="F433" s="57"/>
    </row>
    <row r="434" spans="1:6" x14ac:dyDescent="0.3">
      <c r="A434" s="55" t="s">
        <v>59</v>
      </c>
      <c r="B434" s="56">
        <v>477</v>
      </c>
      <c r="C434" s="56">
        <v>320</v>
      </c>
      <c r="D434" s="64">
        <f t="shared" si="7"/>
        <v>0.67085953878406712</v>
      </c>
      <c r="E434" s="59" t="s">
        <v>90</v>
      </c>
      <c r="F434" s="57"/>
    </row>
    <row r="435" spans="1:6" x14ac:dyDescent="0.3">
      <c r="A435" s="55" t="s">
        <v>60</v>
      </c>
      <c r="B435" s="56">
        <v>654</v>
      </c>
      <c r="C435" s="56">
        <v>457</v>
      </c>
      <c r="D435" s="64">
        <f t="shared" si="7"/>
        <v>0.69877675840978593</v>
      </c>
      <c r="E435" s="59" t="s">
        <v>90</v>
      </c>
      <c r="F435" s="57"/>
    </row>
    <row r="436" spans="1:6" x14ac:dyDescent="0.3">
      <c r="A436" s="55" t="s">
        <v>37</v>
      </c>
      <c r="B436" s="56">
        <v>419</v>
      </c>
      <c r="C436" s="56">
        <v>310</v>
      </c>
      <c r="D436" s="64">
        <f t="shared" si="7"/>
        <v>0.73985680190930792</v>
      </c>
      <c r="E436" s="59" t="s">
        <v>90</v>
      </c>
      <c r="F436" s="57"/>
    </row>
    <row r="437" spans="1:6" x14ac:dyDescent="0.3">
      <c r="A437" s="55" t="s">
        <v>61</v>
      </c>
      <c r="B437" s="56">
        <v>19</v>
      </c>
      <c r="C437" s="56">
        <v>17</v>
      </c>
      <c r="D437" s="64">
        <f t="shared" si="7"/>
        <v>0.89473684210526316</v>
      </c>
      <c r="E437" s="59" t="s">
        <v>90</v>
      </c>
      <c r="F437" s="57"/>
    </row>
    <row r="438" spans="1:6" x14ac:dyDescent="0.3">
      <c r="A438" s="55" t="s">
        <v>62</v>
      </c>
      <c r="B438" s="56">
        <v>9</v>
      </c>
      <c r="C438" s="56">
        <v>8</v>
      </c>
      <c r="D438" s="64">
        <f t="shared" si="7"/>
        <v>0.88888888888888884</v>
      </c>
      <c r="E438" s="59" t="s">
        <v>90</v>
      </c>
      <c r="F438"/>
    </row>
    <row r="439" spans="1:6" x14ac:dyDescent="0.3">
      <c r="A439" s="55" t="s">
        <v>30</v>
      </c>
      <c r="B439" s="56">
        <v>5834</v>
      </c>
      <c r="C439" s="56">
        <v>4263</v>
      </c>
      <c r="D439" s="64">
        <f t="shared" si="7"/>
        <v>0.73071648954405211</v>
      </c>
      <c r="E439" s="59" t="s">
        <v>91</v>
      </c>
      <c r="F439" s="57"/>
    </row>
    <row r="440" spans="1:6" x14ac:dyDescent="0.3">
      <c r="A440" s="55" t="s">
        <v>31</v>
      </c>
      <c r="B440" s="56">
        <v>372</v>
      </c>
      <c r="C440" s="56">
        <v>269</v>
      </c>
      <c r="D440" s="64">
        <f t="shared" si="7"/>
        <v>0.7231182795698925</v>
      </c>
      <c r="E440" s="59" t="s">
        <v>91</v>
      </c>
      <c r="F440" s="57"/>
    </row>
    <row r="441" spans="1:6" x14ac:dyDescent="0.3">
      <c r="A441" s="55" t="s">
        <v>32</v>
      </c>
      <c r="B441" s="56">
        <v>40</v>
      </c>
      <c r="C441" s="56">
        <v>30</v>
      </c>
      <c r="D441" s="64">
        <f t="shared" si="7"/>
        <v>0.75</v>
      </c>
      <c r="E441" s="59" t="s">
        <v>91</v>
      </c>
      <c r="F441" s="57"/>
    </row>
    <row r="442" spans="1:6" x14ac:dyDescent="0.3">
      <c r="A442" s="55" t="s">
        <v>33</v>
      </c>
      <c r="B442" s="56">
        <v>656</v>
      </c>
      <c r="C442" s="56">
        <v>597</v>
      </c>
      <c r="D442" s="64">
        <f t="shared" si="7"/>
        <v>0.91006097560975607</v>
      </c>
      <c r="E442" s="59" t="s">
        <v>91</v>
      </c>
      <c r="F442" s="57"/>
    </row>
    <row r="443" spans="1:6" x14ac:dyDescent="0.3">
      <c r="A443" s="55" t="s">
        <v>57</v>
      </c>
      <c r="B443" s="56">
        <v>122</v>
      </c>
      <c r="C443" s="56">
        <v>86</v>
      </c>
      <c r="D443" s="64">
        <f t="shared" si="7"/>
        <v>0.70491803278688525</v>
      </c>
      <c r="E443" s="59" t="s">
        <v>91</v>
      </c>
      <c r="F443" s="57"/>
    </row>
    <row r="444" spans="1:6" x14ac:dyDescent="0.3">
      <c r="A444" s="55" t="s">
        <v>63</v>
      </c>
      <c r="B444" s="56">
        <v>35</v>
      </c>
      <c r="C444" s="56">
        <v>20</v>
      </c>
      <c r="D444" s="64">
        <f t="shared" si="7"/>
        <v>0.5714285714285714</v>
      </c>
      <c r="E444" s="59" t="s">
        <v>91</v>
      </c>
      <c r="F444" s="57"/>
    </row>
    <row r="445" spans="1:6" x14ac:dyDescent="0.3">
      <c r="A445" s="55" t="s">
        <v>58</v>
      </c>
      <c r="B445" s="56">
        <v>166</v>
      </c>
      <c r="C445" s="56">
        <v>122</v>
      </c>
      <c r="D445" s="64">
        <f t="shared" si="7"/>
        <v>0.73493975903614461</v>
      </c>
      <c r="E445" s="59" t="s">
        <v>91</v>
      </c>
      <c r="F445" s="57"/>
    </row>
    <row r="446" spans="1:6" x14ac:dyDescent="0.3">
      <c r="A446" s="55" t="s">
        <v>35</v>
      </c>
      <c r="B446" s="56">
        <v>1259</v>
      </c>
      <c r="C446" s="56">
        <v>901</v>
      </c>
      <c r="D446" s="64">
        <f t="shared" si="7"/>
        <v>0.715647339158062</v>
      </c>
      <c r="E446" s="59" t="s">
        <v>91</v>
      </c>
      <c r="F446" s="57"/>
    </row>
    <row r="447" spans="1:6" x14ac:dyDescent="0.3">
      <c r="A447" s="55" t="s">
        <v>36</v>
      </c>
      <c r="B447" s="56">
        <v>992</v>
      </c>
      <c r="C447" s="56">
        <v>639</v>
      </c>
      <c r="D447" s="64">
        <f t="shared" si="7"/>
        <v>0.64415322580645162</v>
      </c>
      <c r="E447" s="59" t="s">
        <v>91</v>
      </c>
      <c r="F447" s="57"/>
    </row>
    <row r="448" spans="1:6" x14ac:dyDescent="0.3">
      <c r="A448" s="55" t="s">
        <v>64</v>
      </c>
      <c r="B448" s="56">
        <v>1004</v>
      </c>
      <c r="C448" s="56">
        <v>734</v>
      </c>
      <c r="D448" s="64">
        <f t="shared" si="7"/>
        <v>0.7310756972111554</v>
      </c>
      <c r="E448" s="59" t="s">
        <v>91</v>
      </c>
      <c r="F448" s="57"/>
    </row>
    <row r="449" spans="1:6" x14ac:dyDescent="0.3">
      <c r="A449" s="55" t="s">
        <v>59</v>
      </c>
      <c r="B449" s="56">
        <v>282</v>
      </c>
      <c r="C449" s="56">
        <v>199</v>
      </c>
      <c r="D449" s="64">
        <f t="shared" si="7"/>
        <v>0.70567375886524819</v>
      </c>
      <c r="E449" s="59" t="s">
        <v>91</v>
      </c>
      <c r="F449" s="57"/>
    </row>
    <row r="450" spans="1:6" x14ac:dyDescent="0.3">
      <c r="A450" s="55" t="s">
        <v>60</v>
      </c>
      <c r="B450" s="56">
        <v>548</v>
      </c>
      <c r="C450" s="56">
        <v>379</v>
      </c>
      <c r="D450" s="64">
        <f t="shared" si="7"/>
        <v>0.69160583941605835</v>
      </c>
      <c r="E450" s="59" t="s">
        <v>91</v>
      </c>
      <c r="F450" s="57"/>
    </row>
    <row r="451" spans="1:6" x14ac:dyDescent="0.3">
      <c r="A451" s="55" t="s">
        <v>37</v>
      </c>
      <c r="B451" s="56">
        <v>318</v>
      </c>
      <c r="C451" s="56">
        <v>252</v>
      </c>
      <c r="D451" s="64">
        <f t="shared" si="7"/>
        <v>0.79245283018867929</v>
      </c>
      <c r="E451" s="59" t="s">
        <v>91</v>
      </c>
      <c r="F451" s="57"/>
    </row>
    <row r="452" spans="1:6" x14ac:dyDescent="0.3">
      <c r="A452" s="55" t="s">
        <v>61</v>
      </c>
      <c r="B452" s="56">
        <v>40</v>
      </c>
      <c r="C452" s="56">
        <v>35</v>
      </c>
      <c r="D452" s="64">
        <f t="shared" si="7"/>
        <v>0.875</v>
      </c>
      <c r="E452" s="59" t="s">
        <v>91</v>
      </c>
      <c r="F452" s="57"/>
    </row>
    <row r="453" spans="1:6" x14ac:dyDescent="0.3">
      <c r="A453" s="55" t="s">
        <v>30</v>
      </c>
      <c r="B453" s="56">
        <v>6912</v>
      </c>
      <c r="C453" s="56">
        <v>4949</v>
      </c>
      <c r="D453" s="64">
        <f t="shared" si="7"/>
        <v>0.71600115740740744</v>
      </c>
      <c r="E453" s="59" t="s">
        <v>92</v>
      </c>
      <c r="F453" s="57"/>
    </row>
    <row r="454" spans="1:6" x14ac:dyDescent="0.3">
      <c r="A454" s="55" t="s">
        <v>31</v>
      </c>
      <c r="B454" s="56">
        <v>375</v>
      </c>
      <c r="C454" s="56">
        <v>295</v>
      </c>
      <c r="D454" s="64">
        <f t="shared" si="7"/>
        <v>0.78666666666666663</v>
      </c>
      <c r="E454" s="59" t="s">
        <v>92</v>
      </c>
      <c r="F454" s="57"/>
    </row>
    <row r="455" spans="1:6" x14ac:dyDescent="0.3">
      <c r="A455" s="55" t="s">
        <v>32</v>
      </c>
      <c r="B455" s="56">
        <v>47</v>
      </c>
      <c r="C455" s="56">
        <v>30</v>
      </c>
      <c r="D455" s="64">
        <f t="shared" si="7"/>
        <v>0.63829787234042556</v>
      </c>
      <c r="E455" s="59" t="s">
        <v>92</v>
      </c>
      <c r="F455" s="57"/>
    </row>
    <row r="456" spans="1:6" x14ac:dyDescent="0.3">
      <c r="A456" s="55" t="s">
        <v>33</v>
      </c>
      <c r="B456" s="56">
        <v>734</v>
      </c>
      <c r="C456" s="56">
        <v>688</v>
      </c>
      <c r="D456" s="64">
        <f t="shared" si="7"/>
        <v>0.93732970027247953</v>
      </c>
      <c r="E456" s="59" t="s">
        <v>92</v>
      </c>
      <c r="F456" s="57"/>
    </row>
    <row r="457" spans="1:6" x14ac:dyDescent="0.3">
      <c r="A457" s="55" t="s">
        <v>57</v>
      </c>
      <c r="B457" s="56">
        <v>184</v>
      </c>
      <c r="C457" s="56">
        <v>111</v>
      </c>
      <c r="D457" s="64">
        <f t="shared" si="7"/>
        <v>0.60326086956521741</v>
      </c>
      <c r="E457" s="59" t="s">
        <v>92</v>
      </c>
      <c r="F457" s="57"/>
    </row>
    <row r="458" spans="1:6" x14ac:dyDescent="0.3">
      <c r="A458" s="55" t="s">
        <v>63</v>
      </c>
      <c r="B458" s="56">
        <v>15</v>
      </c>
      <c r="C458" s="56">
        <v>10</v>
      </c>
      <c r="D458" s="64">
        <f t="shared" si="7"/>
        <v>0.66666666666666663</v>
      </c>
      <c r="E458" s="59" t="s">
        <v>92</v>
      </c>
      <c r="F458" s="57"/>
    </row>
    <row r="459" spans="1:6" x14ac:dyDescent="0.3">
      <c r="A459" s="55" t="s">
        <v>58</v>
      </c>
      <c r="B459" s="56">
        <v>143</v>
      </c>
      <c r="C459" s="56">
        <v>107</v>
      </c>
      <c r="D459" s="64">
        <f t="shared" si="7"/>
        <v>0.74825174825174823</v>
      </c>
      <c r="E459" s="59" t="s">
        <v>92</v>
      </c>
      <c r="F459" s="57"/>
    </row>
    <row r="460" spans="1:6" x14ac:dyDescent="0.3">
      <c r="A460" s="55" t="s">
        <v>35</v>
      </c>
      <c r="B460" s="56">
        <v>1356</v>
      </c>
      <c r="C460" s="56">
        <v>980</v>
      </c>
      <c r="D460" s="64">
        <f t="shared" si="7"/>
        <v>0.72271386430678464</v>
      </c>
      <c r="E460" s="59" t="s">
        <v>92</v>
      </c>
      <c r="F460" s="57"/>
    </row>
    <row r="461" spans="1:6" x14ac:dyDescent="0.3">
      <c r="A461" s="55" t="s">
        <v>36</v>
      </c>
      <c r="B461" s="56">
        <v>1285</v>
      </c>
      <c r="C461" s="56">
        <v>805</v>
      </c>
      <c r="D461" s="64">
        <f t="shared" si="7"/>
        <v>0.62645914396887159</v>
      </c>
      <c r="E461" s="59" t="s">
        <v>92</v>
      </c>
      <c r="F461" s="57"/>
    </row>
    <row r="462" spans="1:6" x14ac:dyDescent="0.3">
      <c r="A462" s="55" t="s">
        <v>64</v>
      </c>
      <c r="B462" s="56">
        <v>1268</v>
      </c>
      <c r="C462" s="56">
        <v>872</v>
      </c>
      <c r="D462" s="64">
        <f t="shared" si="7"/>
        <v>0.68769716088328081</v>
      </c>
      <c r="E462" s="59" t="s">
        <v>92</v>
      </c>
      <c r="F462" s="57"/>
    </row>
    <row r="463" spans="1:6" x14ac:dyDescent="0.3">
      <c r="A463" s="55" t="s">
        <v>59</v>
      </c>
      <c r="B463" s="56">
        <v>399</v>
      </c>
      <c r="C463" s="56">
        <v>269</v>
      </c>
      <c r="D463" s="64">
        <f t="shared" si="7"/>
        <v>0.67418546365914789</v>
      </c>
      <c r="E463" s="59" t="s">
        <v>92</v>
      </c>
      <c r="F463" s="57"/>
    </row>
    <row r="464" spans="1:6" x14ac:dyDescent="0.3">
      <c r="A464" s="55" t="s">
        <v>60</v>
      </c>
      <c r="B464" s="56">
        <v>575</v>
      </c>
      <c r="C464" s="56">
        <v>383</v>
      </c>
      <c r="D464" s="64">
        <f t="shared" si="7"/>
        <v>0.6660869565217391</v>
      </c>
      <c r="E464" s="59" t="s">
        <v>92</v>
      </c>
      <c r="F464" s="57"/>
    </row>
    <row r="465" spans="1:6" x14ac:dyDescent="0.3">
      <c r="A465" s="55" t="s">
        <v>37</v>
      </c>
      <c r="B465" s="56">
        <v>437</v>
      </c>
      <c r="C465" s="56">
        <v>339</v>
      </c>
      <c r="D465" s="64">
        <f t="shared" si="7"/>
        <v>0.77574370709382146</v>
      </c>
      <c r="E465" s="59" t="s">
        <v>92</v>
      </c>
      <c r="F465" s="57"/>
    </row>
    <row r="466" spans="1:6" x14ac:dyDescent="0.3">
      <c r="A466" s="55" t="s">
        <v>61</v>
      </c>
      <c r="B466" s="56">
        <v>19</v>
      </c>
      <c r="C466" s="56">
        <v>11</v>
      </c>
      <c r="D466" s="64">
        <f t="shared" si="7"/>
        <v>0.57894736842105265</v>
      </c>
      <c r="E466" s="59" t="s">
        <v>92</v>
      </c>
      <c r="F466" s="57"/>
    </row>
    <row r="467" spans="1:6" x14ac:dyDescent="0.3">
      <c r="A467" s="55" t="s">
        <v>62</v>
      </c>
      <c r="B467" s="56">
        <v>75</v>
      </c>
      <c r="C467" s="56">
        <v>49</v>
      </c>
      <c r="D467" s="64">
        <f t="shared" si="7"/>
        <v>0.65333333333333332</v>
      </c>
      <c r="E467" s="59" t="s">
        <v>92</v>
      </c>
      <c r="F467" s="57"/>
    </row>
    <row r="468" spans="1:6" x14ac:dyDescent="0.3">
      <c r="A468" s="55" t="s">
        <v>30</v>
      </c>
      <c r="B468" s="56">
        <v>7246</v>
      </c>
      <c r="C468" s="56">
        <v>5311</v>
      </c>
      <c r="D468" s="64">
        <f t="shared" si="7"/>
        <v>0.73295611371791336</v>
      </c>
      <c r="E468" s="59" t="s">
        <v>93</v>
      </c>
      <c r="F468" s="57"/>
    </row>
    <row r="469" spans="1:6" x14ac:dyDescent="0.3">
      <c r="A469" s="55" t="s">
        <v>31</v>
      </c>
      <c r="B469" s="56">
        <v>448</v>
      </c>
      <c r="C469" s="56">
        <v>307</v>
      </c>
      <c r="D469" s="64">
        <f t="shared" si="7"/>
        <v>0.6852678571428571</v>
      </c>
      <c r="E469" s="59" t="s">
        <v>93</v>
      </c>
      <c r="F469" s="57"/>
    </row>
    <row r="470" spans="1:6" x14ac:dyDescent="0.3">
      <c r="A470" s="55" t="s">
        <v>32</v>
      </c>
      <c r="B470" s="56">
        <v>32</v>
      </c>
      <c r="C470" s="56">
        <v>22</v>
      </c>
      <c r="D470" s="64">
        <f t="shared" si="7"/>
        <v>0.6875</v>
      </c>
      <c r="E470" s="59" t="s">
        <v>93</v>
      </c>
      <c r="F470" s="57"/>
    </row>
    <row r="471" spans="1:6" x14ac:dyDescent="0.3">
      <c r="A471" s="55" t="s">
        <v>33</v>
      </c>
      <c r="B471" s="56">
        <v>788</v>
      </c>
      <c r="C471" s="56">
        <v>729</v>
      </c>
      <c r="D471" s="64">
        <f t="shared" si="7"/>
        <v>0.92512690355329952</v>
      </c>
      <c r="E471" s="59" t="s">
        <v>93</v>
      </c>
      <c r="F471" s="57"/>
    </row>
    <row r="472" spans="1:6" x14ac:dyDescent="0.3">
      <c r="A472" s="55" t="s">
        <v>57</v>
      </c>
      <c r="B472" s="56">
        <v>59</v>
      </c>
      <c r="C472" s="56">
        <v>43</v>
      </c>
      <c r="D472" s="64">
        <f t="shared" si="7"/>
        <v>0.72881355932203384</v>
      </c>
      <c r="E472" s="59" t="s">
        <v>93</v>
      </c>
      <c r="F472" s="57"/>
    </row>
    <row r="473" spans="1:6" x14ac:dyDescent="0.3">
      <c r="A473" s="55" t="s">
        <v>63</v>
      </c>
      <c r="B473" s="56">
        <v>58</v>
      </c>
      <c r="C473" s="56">
        <v>39</v>
      </c>
      <c r="D473" s="64">
        <f t="shared" si="7"/>
        <v>0.67241379310344829</v>
      </c>
      <c r="E473" s="59" t="s">
        <v>93</v>
      </c>
      <c r="F473" s="57"/>
    </row>
    <row r="474" spans="1:6" x14ac:dyDescent="0.3">
      <c r="A474" s="55" t="s">
        <v>58</v>
      </c>
      <c r="B474" s="56">
        <v>149</v>
      </c>
      <c r="C474" s="56">
        <v>112</v>
      </c>
      <c r="D474" s="64">
        <f t="shared" si="7"/>
        <v>0.75167785234899331</v>
      </c>
      <c r="E474" s="59" t="s">
        <v>93</v>
      </c>
      <c r="F474" s="57"/>
    </row>
    <row r="475" spans="1:6" x14ac:dyDescent="0.3">
      <c r="A475" s="55" t="s">
        <v>35</v>
      </c>
      <c r="B475" s="56">
        <v>1691</v>
      </c>
      <c r="C475" s="56">
        <v>1191</v>
      </c>
      <c r="D475" s="64">
        <f t="shared" si="7"/>
        <v>0.70431697220579537</v>
      </c>
      <c r="E475" s="59" t="s">
        <v>93</v>
      </c>
      <c r="F475" s="57"/>
    </row>
    <row r="476" spans="1:6" x14ac:dyDescent="0.3">
      <c r="A476" s="55" t="s">
        <v>36</v>
      </c>
      <c r="B476" s="56">
        <v>1324</v>
      </c>
      <c r="C476" s="56">
        <v>861</v>
      </c>
      <c r="D476" s="64">
        <f t="shared" ref="D476:D539" si="8">SUM(C476/B476)</f>
        <v>0.65030211480362543</v>
      </c>
      <c r="E476" s="59" t="s">
        <v>93</v>
      </c>
      <c r="F476" s="57"/>
    </row>
    <row r="477" spans="1:6" x14ac:dyDescent="0.3">
      <c r="A477" s="55" t="s">
        <v>64</v>
      </c>
      <c r="B477" s="56">
        <v>1224</v>
      </c>
      <c r="C477" s="56">
        <v>915</v>
      </c>
      <c r="D477" s="64">
        <f t="shared" si="8"/>
        <v>0.74754901960784315</v>
      </c>
      <c r="E477" s="59" t="s">
        <v>93</v>
      </c>
      <c r="F477" s="57"/>
    </row>
    <row r="478" spans="1:6" x14ac:dyDescent="0.3">
      <c r="A478" s="55" t="s">
        <v>59</v>
      </c>
      <c r="B478" s="56">
        <v>253</v>
      </c>
      <c r="C478" s="56">
        <v>187</v>
      </c>
      <c r="D478" s="64">
        <f t="shared" si="8"/>
        <v>0.73913043478260865</v>
      </c>
      <c r="E478" s="59" t="s">
        <v>93</v>
      </c>
      <c r="F478" s="57"/>
    </row>
    <row r="479" spans="1:6" x14ac:dyDescent="0.3">
      <c r="A479" s="55" t="s">
        <v>60</v>
      </c>
      <c r="B479" s="56">
        <v>664</v>
      </c>
      <c r="C479" s="56">
        <v>461</v>
      </c>
      <c r="D479" s="64">
        <f t="shared" si="8"/>
        <v>0.69427710843373491</v>
      </c>
      <c r="E479" s="59" t="s">
        <v>93</v>
      </c>
      <c r="F479" s="57"/>
    </row>
    <row r="480" spans="1:6" x14ac:dyDescent="0.3">
      <c r="A480" s="55" t="s">
        <v>37</v>
      </c>
      <c r="B480" s="56">
        <v>463</v>
      </c>
      <c r="C480" s="56">
        <v>370</v>
      </c>
      <c r="D480" s="64">
        <f t="shared" si="8"/>
        <v>0.79913606911447088</v>
      </c>
      <c r="E480" s="59" t="s">
        <v>93</v>
      </c>
      <c r="F480" s="57"/>
    </row>
    <row r="481" spans="1:6" x14ac:dyDescent="0.3">
      <c r="A481" s="55" t="s">
        <v>61</v>
      </c>
      <c r="B481" s="56">
        <v>35</v>
      </c>
      <c r="C481" s="56">
        <v>30</v>
      </c>
      <c r="D481" s="64">
        <f t="shared" si="8"/>
        <v>0.8571428571428571</v>
      </c>
      <c r="E481" s="59" t="s">
        <v>93</v>
      </c>
      <c r="F481" s="57"/>
    </row>
    <row r="482" spans="1:6" x14ac:dyDescent="0.3">
      <c r="A482" s="55" t="s">
        <v>62</v>
      </c>
      <c r="B482" s="56">
        <v>58</v>
      </c>
      <c r="C482" s="56">
        <v>44</v>
      </c>
      <c r="D482" s="64">
        <f t="shared" si="8"/>
        <v>0.75862068965517238</v>
      </c>
      <c r="E482" s="59" t="s">
        <v>93</v>
      </c>
      <c r="F482" s="57"/>
    </row>
    <row r="483" spans="1:6" x14ac:dyDescent="0.3">
      <c r="A483" s="55" t="s">
        <v>30</v>
      </c>
      <c r="B483" s="56">
        <v>6284</v>
      </c>
      <c r="C483" s="56">
        <v>4543</v>
      </c>
      <c r="D483" s="64">
        <f t="shared" si="8"/>
        <v>0.72294716740929343</v>
      </c>
      <c r="E483" s="59" t="s">
        <v>94</v>
      </c>
      <c r="F483" s="57"/>
    </row>
    <row r="484" spans="1:6" x14ac:dyDescent="0.3">
      <c r="A484" s="55" t="s">
        <v>31</v>
      </c>
      <c r="B484" s="56">
        <v>453</v>
      </c>
      <c r="C484" s="56">
        <v>321</v>
      </c>
      <c r="D484" s="64">
        <f t="shared" si="8"/>
        <v>0.70860927152317876</v>
      </c>
      <c r="E484" s="59" t="s">
        <v>94</v>
      </c>
      <c r="F484" s="57"/>
    </row>
    <row r="485" spans="1:6" x14ac:dyDescent="0.3">
      <c r="A485" s="55" t="s">
        <v>32</v>
      </c>
      <c r="B485" s="56">
        <v>30</v>
      </c>
      <c r="C485" s="56">
        <v>17</v>
      </c>
      <c r="D485" s="64">
        <f t="shared" si="8"/>
        <v>0.56666666666666665</v>
      </c>
      <c r="E485" s="59" t="s">
        <v>94</v>
      </c>
      <c r="F485" s="57"/>
    </row>
    <row r="486" spans="1:6" x14ac:dyDescent="0.3">
      <c r="A486" s="55" t="s">
        <v>33</v>
      </c>
      <c r="B486" s="56">
        <v>730</v>
      </c>
      <c r="C486" s="56">
        <v>670</v>
      </c>
      <c r="D486" s="64">
        <f t="shared" si="8"/>
        <v>0.9178082191780822</v>
      </c>
      <c r="E486" s="59" t="s">
        <v>94</v>
      </c>
      <c r="F486" s="57"/>
    </row>
    <row r="487" spans="1:6" x14ac:dyDescent="0.3">
      <c r="A487" s="55" t="s">
        <v>57</v>
      </c>
      <c r="B487" s="56">
        <v>64</v>
      </c>
      <c r="C487" s="56">
        <v>41</v>
      </c>
      <c r="D487" s="64">
        <f t="shared" si="8"/>
        <v>0.640625</v>
      </c>
      <c r="E487" s="59" t="s">
        <v>94</v>
      </c>
      <c r="F487" s="57"/>
    </row>
    <row r="488" spans="1:6" x14ac:dyDescent="0.3">
      <c r="A488" s="55" t="s">
        <v>63</v>
      </c>
      <c r="B488" s="56">
        <v>46</v>
      </c>
      <c r="C488" s="56">
        <v>35</v>
      </c>
      <c r="D488" s="64">
        <f t="shared" si="8"/>
        <v>0.76086956521739135</v>
      </c>
      <c r="E488" s="59" t="s">
        <v>94</v>
      </c>
      <c r="F488" s="57"/>
    </row>
    <row r="489" spans="1:6" x14ac:dyDescent="0.3">
      <c r="A489" s="55" t="s">
        <v>58</v>
      </c>
      <c r="B489" s="56">
        <v>86</v>
      </c>
      <c r="C489" s="56">
        <v>66</v>
      </c>
      <c r="D489" s="64">
        <f t="shared" si="8"/>
        <v>0.76744186046511631</v>
      </c>
      <c r="E489" s="59" t="s">
        <v>94</v>
      </c>
      <c r="F489" s="57"/>
    </row>
    <row r="490" spans="1:6" x14ac:dyDescent="0.3">
      <c r="A490" s="55" t="s">
        <v>35</v>
      </c>
      <c r="B490" s="56">
        <v>1301</v>
      </c>
      <c r="C490" s="56">
        <v>937</v>
      </c>
      <c r="D490" s="64">
        <f t="shared" si="8"/>
        <v>0.72021521906225983</v>
      </c>
      <c r="E490" s="59" t="s">
        <v>94</v>
      </c>
      <c r="F490" s="57"/>
    </row>
    <row r="491" spans="1:6" x14ac:dyDescent="0.3">
      <c r="A491" s="55" t="s">
        <v>36</v>
      </c>
      <c r="B491" s="56">
        <v>1208</v>
      </c>
      <c r="C491" s="56">
        <v>781</v>
      </c>
      <c r="D491" s="64">
        <f t="shared" si="8"/>
        <v>0.64652317880794707</v>
      </c>
      <c r="E491" s="59" t="s">
        <v>94</v>
      </c>
      <c r="F491" s="57"/>
    </row>
    <row r="492" spans="1:6" x14ac:dyDescent="0.3">
      <c r="A492" s="55" t="s">
        <v>64</v>
      </c>
      <c r="B492" s="56">
        <v>1004</v>
      </c>
      <c r="C492" s="56">
        <v>719</v>
      </c>
      <c r="D492" s="64">
        <f t="shared" si="8"/>
        <v>0.71613545816733071</v>
      </c>
      <c r="E492" s="59" t="s">
        <v>94</v>
      </c>
      <c r="F492" s="57"/>
    </row>
    <row r="493" spans="1:6" x14ac:dyDescent="0.3">
      <c r="A493" s="55" t="s">
        <v>59</v>
      </c>
      <c r="B493" s="56">
        <v>249</v>
      </c>
      <c r="C493" s="56">
        <v>171</v>
      </c>
      <c r="D493" s="64">
        <f t="shared" si="8"/>
        <v>0.68674698795180722</v>
      </c>
      <c r="E493" s="59" t="s">
        <v>94</v>
      </c>
      <c r="F493" s="57"/>
    </row>
    <row r="494" spans="1:6" x14ac:dyDescent="0.3">
      <c r="A494" s="55" t="s">
        <v>60</v>
      </c>
      <c r="B494" s="56">
        <v>642</v>
      </c>
      <c r="C494" s="56">
        <v>428</v>
      </c>
      <c r="D494" s="64">
        <f t="shared" si="8"/>
        <v>0.66666666666666663</v>
      </c>
      <c r="E494" s="59" t="s">
        <v>94</v>
      </c>
      <c r="F494" s="57"/>
    </row>
    <row r="495" spans="1:6" x14ac:dyDescent="0.3">
      <c r="A495" s="55" t="s">
        <v>37</v>
      </c>
      <c r="B495" s="56">
        <v>314</v>
      </c>
      <c r="C495" s="56">
        <v>241</v>
      </c>
      <c r="D495" s="64">
        <f t="shared" si="8"/>
        <v>0.76751592356687903</v>
      </c>
      <c r="E495" s="59" t="s">
        <v>94</v>
      </c>
      <c r="F495" s="57"/>
    </row>
    <row r="496" spans="1:6" x14ac:dyDescent="0.3">
      <c r="A496" s="55" t="s">
        <v>61</v>
      </c>
      <c r="B496" s="56">
        <v>41</v>
      </c>
      <c r="C496" s="56">
        <v>32</v>
      </c>
      <c r="D496" s="64">
        <f t="shared" si="8"/>
        <v>0.78048780487804881</v>
      </c>
      <c r="E496" s="59" t="s">
        <v>94</v>
      </c>
      <c r="F496" s="57"/>
    </row>
    <row r="497" spans="1:6" x14ac:dyDescent="0.3">
      <c r="A497" s="55" t="s">
        <v>62</v>
      </c>
      <c r="B497" s="56">
        <v>116</v>
      </c>
      <c r="C497" s="56">
        <v>84</v>
      </c>
      <c r="D497" s="64">
        <f t="shared" si="8"/>
        <v>0.72413793103448276</v>
      </c>
      <c r="E497" s="59" t="s">
        <v>94</v>
      </c>
      <c r="F497" s="57"/>
    </row>
    <row r="498" spans="1:6" x14ac:dyDescent="0.3">
      <c r="A498" s="55" t="s">
        <v>30</v>
      </c>
      <c r="B498" s="56">
        <v>7898</v>
      </c>
      <c r="C498" s="56">
        <v>5848</v>
      </c>
      <c r="D498" s="64">
        <f t="shared" si="8"/>
        <v>0.7404406178779438</v>
      </c>
      <c r="E498" s="59" t="s">
        <v>95</v>
      </c>
      <c r="F498" s="57"/>
    </row>
    <row r="499" spans="1:6" x14ac:dyDescent="0.3">
      <c r="A499" s="55" t="s">
        <v>31</v>
      </c>
      <c r="B499" s="56">
        <v>631</v>
      </c>
      <c r="C499" s="56">
        <v>420</v>
      </c>
      <c r="D499" s="64">
        <f t="shared" si="8"/>
        <v>0.66561014263074481</v>
      </c>
      <c r="E499" s="59" t="s">
        <v>95</v>
      </c>
      <c r="F499" s="57"/>
    </row>
    <row r="500" spans="1:6" x14ac:dyDescent="0.3">
      <c r="A500" s="55" t="s">
        <v>32</v>
      </c>
      <c r="B500" s="56">
        <v>23</v>
      </c>
      <c r="C500" s="56">
        <v>16</v>
      </c>
      <c r="D500" s="64">
        <f t="shared" si="8"/>
        <v>0.69565217391304346</v>
      </c>
      <c r="E500" s="59" t="s">
        <v>95</v>
      </c>
      <c r="F500" s="57"/>
    </row>
    <row r="501" spans="1:6" x14ac:dyDescent="0.3">
      <c r="A501" s="55" t="s">
        <v>33</v>
      </c>
      <c r="B501" s="56">
        <v>997</v>
      </c>
      <c r="C501" s="56">
        <v>938</v>
      </c>
      <c r="D501" s="64">
        <f t="shared" si="8"/>
        <v>0.94082246740220665</v>
      </c>
      <c r="E501" s="59" t="s">
        <v>95</v>
      </c>
      <c r="F501" s="57"/>
    </row>
    <row r="502" spans="1:6" x14ac:dyDescent="0.3">
      <c r="A502" s="55" t="s">
        <v>57</v>
      </c>
      <c r="B502" s="56">
        <v>36</v>
      </c>
      <c r="C502" s="56">
        <v>28</v>
      </c>
      <c r="D502" s="64">
        <f t="shared" si="8"/>
        <v>0.77777777777777779</v>
      </c>
      <c r="E502" s="59" t="s">
        <v>95</v>
      </c>
      <c r="F502" s="57"/>
    </row>
    <row r="503" spans="1:6" x14ac:dyDescent="0.3">
      <c r="A503" s="55" t="s">
        <v>58</v>
      </c>
      <c r="B503" s="56">
        <v>90</v>
      </c>
      <c r="C503" s="56">
        <v>69</v>
      </c>
      <c r="D503" s="64">
        <f t="shared" si="8"/>
        <v>0.76666666666666672</v>
      </c>
      <c r="E503" s="59" t="s">
        <v>95</v>
      </c>
      <c r="F503" s="57"/>
    </row>
    <row r="504" spans="1:6" x14ac:dyDescent="0.3">
      <c r="A504" s="55" t="s">
        <v>35</v>
      </c>
      <c r="B504" s="56">
        <v>1537</v>
      </c>
      <c r="C504" s="56">
        <v>1163</v>
      </c>
      <c r="D504" s="64">
        <f t="shared" si="8"/>
        <v>0.75666883539362395</v>
      </c>
      <c r="E504" s="59" t="s">
        <v>95</v>
      </c>
      <c r="F504" s="57"/>
    </row>
    <row r="505" spans="1:6" x14ac:dyDescent="0.3">
      <c r="A505" s="55" t="s">
        <v>36</v>
      </c>
      <c r="B505" s="56">
        <v>1309</v>
      </c>
      <c r="C505" s="56">
        <v>875</v>
      </c>
      <c r="D505" s="64">
        <f t="shared" si="8"/>
        <v>0.66844919786096257</v>
      </c>
      <c r="E505" s="59" t="s">
        <v>95</v>
      </c>
      <c r="F505" s="57"/>
    </row>
    <row r="506" spans="1:6" x14ac:dyDescent="0.3">
      <c r="A506" s="55" t="s">
        <v>64</v>
      </c>
      <c r="B506" s="56">
        <v>1505</v>
      </c>
      <c r="C506" s="56">
        <v>1106</v>
      </c>
      <c r="D506" s="64">
        <f t="shared" si="8"/>
        <v>0.73488372093023258</v>
      </c>
      <c r="E506" s="59" t="s">
        <v>95</v>
      </c>
      <c r="F506" s="57"/>
    </row>
    <row r="507" spans="1:6" x14ac:dyDescent="0.3">
      <c r="A507" s="55" t="s">
        <v>59</v>
      </c>
      <c r="B507" s="56">
        <v>500</v>
      </c>
      <c r="C507" s="56">
        <v>324</v>
      </c>
      <c r="D507" s="64">
        <f t="shared" si="8"/>
        <v>0.64800000000000002</v>
      </c>
      <c r="E507" s="59" t="s">
        <v>95</v>
      </c>
      <c r="F507" s="57"/>
    </row>
    <row r="508" spans="1:6" x14ac:dyDescent="0.3">
      <c r="A508" s="55" t="s">
        <v>60</v>
      </c>
      <c r="B508" s="56">
        <v>581</v>
      </c>
      <c r="C508" s="56">
        <v>398</v>
      </c>
      <c r="D508" s="64">
        <f t="shared" si="8"/>
        <v>0.68502581755593805</v>
      </c>
      <c r="E508" s="59" t="s">
        <v>95</v>
      </c>
      <c r="F508" s="57"/>
    </row>
    <row r="509" spans="1:6" x14ac:dyDescent="0.3">
      <c r="A509" s="55" t="s">
        <v>37</v>
      </c>
      <c r="B509" s="56">
        <v>550</v>
      </c>
      <c r="C509" s="56">
        <v>394</v>
      </c>
      <c r="D509" s="64">
        <f t="shared" si="8"/>
        <v>0.71636363636363631</v>
      </c>
      <c r="E509" s="59" t="s">
        <v>95</v>
      </c>
      <c r="F509" s="57"/>
    </row>
    <row r="510" spans="1:6" x14ac:dyDescent="0.3">
      <c r="A510" s="55" t="s">
        <v>61</v>
      </c>
      <c r="B510" s="56">
        <v>76</v>
      </c>
      <c r="C510" s="56">
        <v>65</v>
      </c>
      <c r="D510" s="64">
        <f t="shared" si="8"/>
        <v>0.85526315789473684</v>
      </c>
      <c r="E510" s="59" t="s">
        <v>95</v>
      </c>
      <c r="F510" s="57"/>
    </row>
    <row r="511" spans="1:6" x14ac:dyDescent="0.3">
      <c r="A511" s="55" t="s">
        <v>62</v>
      </c>
      <c r="B511" s="56">
        <v>63</v>
      </c>
      <c r="C511" s="56">
        <v>52</v>
      </c>
      <c r="D511" s="64">
        <f t="shared" si="8"/>
        <v>0.82539682539682535</v>
      </c>
      <c r="E511" s="59" t="s">
        <v>95</v>
      </c>
      <c r="F511" s="57"/>
    </row>
    <row r="512" spans="1:6" x14ac:dyDescent="0.3">
      <c r="A512" s="55" t="s">
        <v>30</v>
      </c>
      <c r="B512" s="56">
        <v>6729</v>
      </c>
      <c r="C512" s="56">
        <v>5734</v>
      </c>
      <c r="D512" s="64">
        <f t="shared" si="8"/>
        <v>0.8521325605587754</v>
      </c>
      <c r="E512" s="59" t="s">
        <v>96</v>
      </c>
    </row>
    <row r="513" spans="1:7" x14ac:dyDescent="0.3">
      <c r="A513" s="55" t="s">
        <v>31</v>
      </c>
      <c r="B513" s="56">
        <v>555</v>
      </c>
      <c r="C513" s="56">
        <v>470</v>
      </c>
      <c r="D513" s="64">
        <f t="shared" si="8"/>
        <v>0.84684684684684686</v>
      </c>
      <c r="E513" s="59" t="s">
        <v>96</v>
      </c>
      <c r="F513"/>
      <c r="G513"/>
    </row>
    <row r="514" spans="1:7" x14ac:dyDescent="0.3">
      <c r="A514" s="55" t="s">
        <v>32</v>
      </c>
      <c r="B514" s="56">
        <v>36</v>
      </c>
      <c r="C514" s="56">
        <v>22</v>
      </c>
      <c r="D514" s="64">
        <f t="shared" si="8"/>
        <v>0.61111111111111116</v>
      </c>
      <c r="E514" s="59" t="s">
        <v>96</v>
      </c>
      <c r="F514"/>
      <c r="G514"/>
    </row>
    <row r="515" spans="1:7" x14ac:dyDescent="0.3">
      <c r="A515" s="55" t="s">
        <v>33</v>
      </c>
      <c r="B515" s="56">
        <v>773</v>
      </c>
      <c r="C515" s="56">
        <v>732</v>
      </c>
      <c r="D515" s="64">
        <f t="shared" si="8"/>
        <v>0.9469598965071151</v>
      </c>
      <c r="E515" s="59" t="s">
        <v>96</v>
      </c>
      <c r="F515"/>
      <c r="G515"/>
    </row>
    <row r="516" spans="1:7" x14ac:dyDescent="0.3">
      <c r="A516" s="55" t="s">
        <v>57</v>
      </c>
      <c r="B516" s="56">
        <v>34</v>
      </c>
      <c r="C516" s="56">
        <v>30</v>
      </c>
      <c r="D516" s="64">
        <f t="shared" si="8"/>
        <v>0.88235294117647056</v>
      </c>
      <c r="E516" s="59" t="s">
        <v>96</v>
      </c>
      <c r="F516"/>
      <c r="G516"/>
    </row>
    <row r="517" spans="1:7" x14ac:dyDescent="0.3">
      <c r="A517" s="55" t="s">
        <v>63</v>
      </c>
      <c r="B517" s="56">
        <v>50</v>
      </c>
      <c r="C517" s="56">
        <v>40</v>
      </c>
      <c r="D517" s="64">
        <f t="shared" si="8"/>
        <v>0.8</v>
      </c>
      <c r="E517" s="59" t="s">
        <v>96</v>
      </c>
      <c r="F517"/>
      <c r="G517"/>
    </row>
    <row r="518" spans="1:7" x14ac:dyDescent="0.3">
      <c r="A518" s="55" t="s">
        <v>58</v>
      </c>
      <c r="B518" s="56">
        <v>115</v>
      </c>
      <c r="C518" s="56">
        <v>73</v>
      </c>
      <c r="D518" s="64">
        <f t="shared" si="8"/>
        <v>0.63478260869565217</v>
      </c>
      <c r="E518" s="59" t="s">
        <v>96</v>
      </c>
      <c r="F518"/>
      <c r="G518"/>
    </row>
    <row r="519" spans="1:7" x14ac:dyDescent="0.3">
      <c r="A519" s="55" t="s">
        <v>35</v>
      </c>
      <c r="B519" s="56">
        <v>1313</v>
      </c>
      <c r="C519" s="56">
        <v>1154</v>
      </c>
      <c r="D519" s="64">
        <f t="shared" si="8"/>
        <v>0.8789032749428789</v>
      </c>
      <c r="E519" s="59" t="s">
        <v>96</v>
      </c>
      <c r="F519"/>
      <c r="G519"/>
    </row>
    <row r="520" spans="1:7" x14ac:dyDescent="0.3">
      <c r="A520" s="55" t="s">
        <v>36</v>
      </c>
      <c r="B520" s="56">
        <v>1242</v>
      </c>
      <c r="C520" s="56">
        <v>1057</v>
      </c>
      <c r="D520" s="64">
        <f t="shared" si="8"/>
        <v>0.85104669887278583</v>
      </c>
      <c r="E520" s="59" t="s">
        <v>96</v>
      </c>
      <c r="F520"/>
      <c r="G520"/>
    </row>
    <row r="521" spans="1:7" x14ac:dyDescent="0.3">
      <c r="A521" s="55" t="s">
        <v>64</v>
      </c>
      <c r="B521" s="56">
        <v>1103</v>
      </c>
      <c r="C521" s="56">
        <v>1011</v>
      </c>
      <c r="D521" s="64">
        <f t="shared" si="8"/>
        <v>0.91659111514052583</v>
      </c>
      <c r="E521" s="59" t="s">
        <v>96</v>
      </c>
      <c r="F521"/>
      <c r="G521"/>
    </row>
    <row r="522" spans="1:7" x14ac:dyDescent="0.3">
      <c r="A522" s="55" t="s">
        <v>59</v>
      </c>
      <c r="B522" s="56">
        <v>383</v>
      </c>
      <c r="C522" s="56">
        <v>312</v>
      </c>
      <c r="D522" s="64">
        <f t="shared" si="8"/>
        <v>0.81462140992167098</v>
      </c>
      <c r="E522" s="59" t="s">
        <v>96</v>
      </c>
      <c r="F522"/>
      <c r="G522"/>
    </row>
    <row r="523" spans="1:7" x14ac:dyDescent="0.3">
      <c r="A523" s="55" t="s">
        <v>60</v>
      </c>
      <c r="B523" s="56">
        <v>654</v>
      </c>
      <c r="C523" s="56">
        <v>416</v>
      </c>
      <c r="D523" s="64">
        <f t="shared" si="8"/>
        <v>0.63608562691131498</v>
      </c>
      <c r="E523" s="59" t="s">
        <v>96</v>
      </c>
      <c r="F523"/>
      <c r="G523"/>
    </row>
    <row r="524" spans="1:7" x14ac:dyDescent="0.3">
      <c r="A524" s="55" t="s">
        <v>37</v>
      </c>
      <c r="B524" s="56">
        <v>360</v>
      </c>
      <c r="C524" s="56">
        <v>323</v>
      </c>
      <c r="D524" s="64">
        <f t="shared" si="8"/>
        <v>0.89722222222222225</v>
      </c>
      <c r="E524" s="59" t="s">
        <v>96</v>
      </c>
      <c r="F524"/>
      <c r="G524"/>
    </row>
    <row r="525" spans="1:7" x14ac:dyDescent="0.3">
      <c r="A525" s="55" t="s">
        <v>61</v>
      </c>
      <c r="B525" s="56">
        <v>4</v>
      </c>
      <c r="C525" s="56">
        <v>0</v>
      </c>
      <c r="D525" s="64">
        <f t="shared" si="8"/>
        <v>0</v>
      </c>
      <c r="E525" s="59" t="s">
        <v>96</v>
      </c>
      <c r="F525"/>
      <c r="G525"/>
    </row>
    <row r="526" spans="1:7" x14ac:dyDescent="0.3">
      <c r="A526" s="55" t="s">
        <v>62</v>
      </c>
      <c r="B526" s="56">
        <v>107</v>
      </c>
      <c r="C526" s="56">
        <v>94</v>
      </c>
      <c r="D526" s="64">
        <f t="shared" si="8"/>
        <v>0.87850467289719625</v>
      </c>
      <c r="E526" s="59" t="s">
        <v>96</v>
      </c>
      <c r="F526"/>
      <c r="G526"/>
    </row>
    <row r="527" spans="1:7" x14ac:dyDescent="0.3">
      <c r="A527" s="55" t="s">
        <v>30</v>
      </c>
      <c r="B527" s="56">
        <v>6524</v>
      </c>
      <c r="C527" s="56">
        <v>4662</v>
      </c>
      <c r="D527" s="64">
        <f t="shared" si="8"/>
        <v>0.71459227467811159</v>
      </c>
      <c r="E527" s="59" t="s">
        <v>97</v>
      </c>
      <c r="F527" s="57"/>
    </row>
    <row r="528" spans="1:7" x14ac:dyDescent="0.3">
      <c r="A528" s="55" t="s">
        <v>31</v>
      </c>
      <c r="B528" s="56">
        <v>385</v>
      </c>
      <c r="C528" s="56">
        <v>281</v>
      </c>
      <c r="D528" s="64">
        <f t="shared" si="8"/>
        <v>0.72987012987012989</v>
      </c>
      <c r="E528" s="59" t="s">
        <v>97</v>
      </c>
      <c r="F528" s="57"/>
    </row>
    <row r="529" spans="1:6" x14ac:dyDescent="0.3">
      <c r="A529" s="55" t="s">
        <v>32</v>
      </c>
      <c r="B529" s="56">
        <v>44</v>
      </c>
      <c r="C529" s="56">
        <v>36</v>
      </c>
      <c r="D529" s="64">
        <f t="shared" si="8"/>
        <v>0.81818181818181823</v>
      </c>
      <c r="E529" s="59" t="s">
        <v>97</v>
      </c>
      <c r="F529" s="57"/>
    </row>
    <row r="530" spans="1:6" x14ac:dyDescent="0.3">
      <c r="A530" s="55" t="s">
        <v>33</v>
      </c>
      <c r="B530" s="56">
        <v>592</v>
      </c>
      <c r="C530" s="56">
        <v>547</v>
      </c>
      <c r="D530" s="64">
        <f t="shared" si="8"/>
        <v>0.92398648648648651</v>
      </c>
      <c r="E530" s="59" t="s">
        <v>97</v>
      </c>
      <c r="F530" s="57"/>
    </row>
    <row r="531" spans="1:6" x14ac:dyDescent="0.3">
      <c r="A531" s="55" t="s">
        <v>57</v>
      </c>
      <c r="B531" s="56">
        <v>68</v>
      </c>
      <c r="C531" s="56">
        <v>51</v>
      </c>
      <c r="D531" s="64">
        <f t="shared" si="8"/>
        <v>0.75</v>
      </c>
      <c r="E531" s="59" t="s">
        <v>97</v>
      </c>
      <c r="F531" s="57"/>
    </row>
    <row r="532" spans="1:6" x14ac:dyDescent="0.3">
      <c r="A532" s="55" t="s">
        <v>58</v>
      </c>
      <c r="B532" s="56">
        <v>90</v>
      </c>
      <c r="C532" s="56">
        <v>71</v>
      </c>
      <c r="D532" s="64">
        <f t="shared" si="8"/>
        <v>0.78888888888888886</v>
      </c>
      <c r="E532" s="59" t="s">
        <v>97</v>
      </c>
      <c r="F532" s="57"/>
    </row>
    <row r="533" spans="1:6" x14ac:dyDescent="0.3">
      <c r="A533" s="55" t="s">
        <v>35</v>
      </c>
      <c r="B533" s="56">
        <v>1597</v>
      </c>
      <c r="C533" s="56">
        <v>1144</v>
      </c>
      <c r="D533" s="64">
        <f t="shared" si="8"/>
        <v>0.71634314339386351</v>
      </c>
      <c r="E533" s="59" t="s">
        <v>97</v>
      </c>
      <c r="F533" s="57"/>
    </row>
    <row r="534" spans="1:6" x14ac:dyDescent="0.3">
      <c r="A534" s="55" t="s">
        <v>36</v>
      </c>
      <c r="B534" s="56">
        <v>1538</v>
      </c>
      <c r="C534" s="56">
        <v>928</v>
      </c>
      <c r="D534" s="64">
        <f t="shared" si="8"/>
        <v>0.60338101430429125</v>
      </c>
      <c r="E534" s="59" t="s">
        <v>97</v>
      </c>
      <c r="F534" s="57"/>
    </row>
    <row r="535" spans="1:6" x14ac:dyDescent="0.3">
      <c r="A535" s="55" t="s">
        <v>64</v>
      </c>
      <c r="B535" s="56">
        <v>1113</v>
      </c>
      <c r="C535" s="56">
        <v>840</v>
      </c>
      <c r="D535" s="64">
        <f t="shared" si="8"/>
        <v>0.75471698113207553</v>
      </c>
      <c r="E535" s="59" t="s">
        <v>97</v>
      </c>
      <c r="F535" s="57"/>
    </row>
    <row r="536" spans="1:6" x14ac:dyDescent="0.3">
      <c r="A536" s="55" t="s">
        <v>59</v>
      </c>
      <c r="B536" s="56">
        <v>306</v>
      </c>
      <c r="C536" s="56">
        <v>212</v>
      </c>
      <c r="D536" s="64">
        <f t="shared" si="8"/>
        <v>0.69281045751633985</v>
      </c>
      <c r="E536" s="59" t="s">
        <v>97</v>
      </c>
      <c r="F536" s="57"/>
    </row>
    <row r="537" spans="1:6" x14ac:dyDescent="0.3">
      <c r="A537" s="55" t="s">
        <v>60</v>
      </c>
      <c r="B537" s="56">
        <v>427</v>
      </c>
      <c r="C537" s="56">
        <v>284</v>
      </c>
      <c r="D537" s="64">
        <f t="shared" si="8"/>
        <v>0.66510538641686179</v>
      </c>
      <c r="E537" s="59" t="s">
        <v>97</v>
      </c>
      <c r="F537" s="57"/>
    </row>
    <row r="538" spans="1:6" x14ac:dyDescent="0.3">
      <c r="A538" s="55" t="s">
        <v>37</v>
      </c>
      <c r="B538" s="56">
        <v>333</v>
      </c>
      <c r="C538" s="56">
        <v>248</v>
      </c>
      <c r="D538" s="64">
        <f t="shared" si="8"/>
        <v>0.74474474474474472</v>
      </c>
      <c r="E538" s="59" t="s">
        <v>97</v>
      </c>
      <c r="F538" s="57"/>
    </row>
    <row r="539" spans="1:6" x14ac:dyDescent="0.3">
      <c r="A539" s="55" t="s">
        <v>61</v>
      </c>
      <c r="B539" s="56">
        <v>19</v>
      </c>
      <c r="C539" s="56">
        <v>12</v>
      </c>
      <c r="D539" s="64">
        <f t="shared" si="8"/>
        <v>0.63157894736842102</v>
      </c>
      <c r="E539" s="59" t="s">
        <v>97</v>
      </c>
      <c r="F539" s="57"/>
    </row>
    <row r="540" spans="1:6" x14ac:dyDescent="0.3">
      <c r="A540" s="55" t="s">
        <v>62</v>
      </c>
      <c r="B540" s="56">
        <v>12</v>
      </c>
      <c r="C540" s="56">
        <v>8</v>
      </c>
      <c r="D540" s="64">
        <f t="shared" ref="D540:D603" si="9">SUM(C540/B540)</f>
        <v>0.66666666666666663</v>
      </c>
      <c r="E540" s="59" t="s">
        <v>97</v>
      </c>
      <c r="F540" s="57"/>
    </row>
    <row r="541" spans="1:6" x14ac:dyDescent="0.3">
      <c r="A541" s="55" t="s">
        <v>30</v>
      </c>
      <c r="B541" s="56">
        <v>6331</v>
      </c>
      <c r="C541" s="56">
        <v>4649</v>
      </c>
      <c r="D541" s="64">
        <f t="shared" si="9"/>
        <v>0.73432317169483496</v>
      </c>
      <c r="E541" s="59" t="s">
        <v>98</v>
      </c>
      <c r="F541" s="57"/>
    </row>
    <row r="542" spans="1:6" x14ac:dyDescent="0.3">
      <c r="A542" s="55" t="s">
        <v>31</v>
      </c>
      <c r="B542" s="56">
        <v>478</v>
      </c>
      <c r="C542" s="56">
        <v>350</v>
      </c>
      <c r="D542" s="64">
        <f t="shared" si="9"/>
        <v>0.73221757322175729</v>
      </c>
      <c r="E542" s="59" t="s">
        <v>98</v>
      </c>
      <c r="F542" s="57"/>
    </row>
    <row r="543" spans="1:6" x14ac:dyDescent="0.3">
      <c r="A543" s="55" t="s">
        <v>32</v>
      </c>
      <c r="B543" s="56">
        <v>21</v>
      </c>
      <c r="C543" s="56">
        <v>12</v>
      </c>
      <c r="D543" s="64">
        <f t="shared" si="9"/>
        <v>0.5714285714285714</v>
      </c>
      <c r="E543" s="59" t="s">
        <v>98</v>
      </c>
      <c r="F543" s="57"/>
    </row>
    <row r="544" spans="1:6" x14ac:dyDescent="0.3">
      <c r="A544" s="55" t="s">
        <v>33</v>
      </c>
      <c r="B544" s="56">
        <v>667</v>
      </c>
      <c r="C544" s="56">
        <v>620</v>
      </c>
      <c r="D544" s="64">
        <f t="shared" si="9"/>
        <v>0.92953523238380809</v>
      </c>
      <c r="E544" s="59" t="s">
        <v>98</v>
      </c>
      <c r="F544" s="57"/>
    </row>
    <row r="545" spans="1:6" x14ac:dyDescent="0.3">
      <c r="A545" s="55" t="s">
        <v>57</v>
      </c>
      <c r="B545" s="56">
        <v>52</v>
      </c>
      <c r="C545" s="56">
        <v>39</v>
      </c>
      <c r="D545" s="64">
        <f t="shared" si="9"/>
        <v>0.75</v>
      </c>
      <c r="E545" s="59" t="s">
        <v>98</v>
      </c>
      <c r="F545" s="57"/>
    </row>
    <row r="546" spans="1:6" x14ac:dyDescent="0.3">
      <c r="A546" s="55" t="s">
        <v>63</v>
      </c>
      <c r="B546" s="56">
        <v>36</v>
      </c>
      <c r="C546" s="56">
        <v>24</v>
      </c>
      <c r="D546" s="64">
        <f t="shared" si="9"/>
        <v>0.66666666666666663</v>
      </c>
      <c r="E546" s="59" t="s">
        <v>98</v>
      </c>
      <c r="F546"/>
    </row>
    <row r="547" spans="1:6" x14ac:dyDescent="0.3">
      <c r="A547" s="55" t="s">
        <v>58</v>
      </c>
      <c r="B547" s="56">
        <v>116</v>
      </c>
      <c r="C547" s="56">
        <v>90</v>
      </c>
      <c r="D547" s="64">
        <f t="shared" si="9"/>
        <v>0.77586206896551724</v>
      </c>
      <c r="E547" s="59" t="s">
        <v>98</v>
      </c>
      <c r="F547" s="57"/>
    </row>
    <row r="548" spans="1:6" x14ac:dyDescent="0.3">
      <c r="A548" s="55" t="s">
        <v>35</v>
      </c>
      <c r="B548" s="56">
        <v>1490</v>
      </c>
      <c r="C548" s="56">
        <v>1094</v>
      </c>
      <c r="D548" s="64">
        <f t="shared" si="9"/>
        <v>0.73422818791946309</v>
      </c>
      <c r="E548" s="59" t="s">
        <v>98</v>
      </c>
      <c r="F548" s="57"/>
    </row>
    <row r="549" spans="1:6" x14ac:dyDescent="0.3">
      <c r="A549" s="55" t="s">
        <v>36</v>
      </c>
      <c r="B549" s="56">
        <v>766</v>
      </c>
      <c r="C549" s="56">
        <v>487</v>
      </c>
      <c r="D549" s="64">
        <f t="shared" si="9"/>
        <v>0.63577023498694518</v>
      </c>
      <c r="E549" s="59" t="s">
        <v>98</v>
      </c>
      <c r="F549" s="57"/>
    </row>
    <row r="550" spans="1:6" x14ac:dyDescent="0.3">
      <c r="A550" s="55" t="s">
        <v>64</v>
      </c>
      <c r="B550" s="56">
        <v>1355</v>
      </c>
      <c r="C550" s="56">
        <v>999</v>
      </c>
      <c r="D550" s="64">
        <f t="shared" si="9"/>
        <v>0.73726937269372694</v>
      </c>
      <c r="E550" s="59" t="s">
        <v>98</v>
      </c>
      <c r="F550" s="57"/>
    </row>
    <row r="551" spans="1:6" x14ac:dyDescent="0.3">
      <c r="A551" s="55" t="s">
        <v>59</v>
      </c>
      <c r="B551" s="56">
        <v>350</v>
      </c>
      <c r="C551" s="56">
        <v>240</v>
      </c>
      <c r="D551" s="64">
        <f t="shared" si="9"/>
        <v>0.68571428571428572</v>
      </c>
      <c r="E551" s="59" t="s">
        <v>98</v>
      </c>
      <c r="F551" s="57"/>
    </row>
    <row r="552" spans="1:6" x14ac:dyDescent="0.3">
      <c r="A552" s="55" t="s">
        <v>60</v>
      </c>
      <c r="B552" s="56">
        <v>600</v>
      </c>
      <c r="C552" s="56">
        <v>396</v>
      </c>
      <c r="D552" s="64">
        <f t="shared" si="9"/>
        <v>0.66</v>
      </c>
      <c r="E552" s="59" t="s">
        <v>98</v>
      </c>
      <c r="F552" s="57"/>
    </row>
    <row r="553" spans="1:6" x14ac:dyDescent="0.3">
      <c r="A553" s="55" t="s">
        <v>37</v>
      </c>
      <c r="B553" s="56">
        <v>359</v>
      </c>
      <c r="C553" s="56">
        <v>266</v>
      </c>
      <c r="D553" s="64">
        <f t="shared" si="9"/>
        <v>0.74094707520891367</v>
      </c>
      <c r="E553" s="59" t="s">
        <v>98</v>
      </c>
      <c r="F553" s="57"/>
    </row>
    <row r="554" spans="1:6" x14ac:dyDescent="0.3">
      <c r="A554" s="55" t="s">
        <v>61</v>
      </c>
      <c r="B554" s="56">
        <v>11</v>
      </c>
      <c r="C554" s="56">
        <v>9</v>
      </c>
      <c r="D554" s="64">
        <f t="shared" si="9"/>
        <v>0.81818181818181823</v>
      </c>
      <c r="E554" s="59" t="s">
        <v>98</v>
      </c>
      <c r="F554" s="57"/>
    </row>
    <row r="555" spans="1:6" x14ac:dyDescent="0.3">
      <c r="A555" s="55" t="s">
        <v>62</v>
      </c>
      <c r="B555" s="56">
        <v>30</v>
      </c>
      <c r="C555" s="56">
        <v>23</v>
      </c>
      <c r="D555" s="64">
        <f t="shared" si="9"/>
        <v>0.76666666666666672</v>
      </c>
      <c r="E555" s="59" t="s">
        <v>98</v>
      </c>
      <c r="F555" s="57"/>
    </row>
    <row r="556" spans="1:6" x14ac:dyDescent="0.3">
      <c r="A556" s="55" t="s">
        <v>30</v>
      </c>
      <c r="B556" s="56">
        <v>6440</v>
      </c>
      <c r="C556" s="56">
        <v>4696</v>
      </c>
      <c r="D556" s="64">
        <f t="shared" si="9"/>
        <v>0.72919254658385091</v>
      </c>
      <c r="E556" s="59" t="s">
        <v>99</v>
      </c>
      <c r="F556" s="57"/>
    </row>
    <row r="557" spans="1:6" x14ac:dyDescent="0.3">
      <c r="A557" s="55" t="s">
        <v>31</v>
      </c>
      <c r="B557" s="56">
        <v>470</v>
      </c>
      <c r="C557" s="56">
        <v>319</v>
      </c>
      <c r="D557" s="64">
        <f t="shared" si="9"/>
        <v>0.67872340425531918</v>
      </c>
      <c r="E557" s="59" t="s">
        <v>99</v>
      </c>
      <c r="F557" s="57"/>
    </row>
    <row r="558" spans="1:6" x14ac:dyDescent="0.3">
      <c r="A558" s="55" t="s">
        <v>32</v>
      </c>
      <c r="B558" s="56">
        <v>25</v>
      </c>
      <c r="C558" s="56">
        <v>15</v>
      </c>
      <c r="D558" s="64">
        <f t="shared" si="9"/>
        <v>0.6</v>
      </c>
      <c r="E558" s="59" t="s">
        <v>99</v>
      </c>
      <c r="F558" s="57"/>
    </row>
    <row r="559" spans="1:6" x14ac:dyDescent="0.3">
      <c r="A559" s="55" t="s">
        <v>33</v>
      </c>
      <c r="B559" s="56">
        <v>560</v>
      </c>
      <c r="C559" s="56">
        <v>516</v>
      </c>
      <c r="D559" s="64">
        <f t="shared" si="9"/>
        <v>0.92142857142857137</v>
      </c>
      <c r="E559" s="59" t="s">
        <v>99</v>
      </c>
      <c r="F559" s="57"/>
    </row>
    <row r="560" spans="1:6" x14ac:dyDescent="0.3">
      <c r="A560" s="55" t="s">
        <v>57</v>
      </c>
      <c r="B560" s="56">
        <v>243</v>
      </c>
      <c r="C560" s="56">
        <v>174</v>
      </c>
      <c r="D560" s="64">
        <f t="shared" si="9"/>
        <v>0.71604938271604934</v>
      </c>
      <c r="E560" s="59" t="s">
        <v>99</v>
      </c>
      <c r="F560" s="57"/>
    </row>
    <row r="561" spans="1:6" x14ac:dyDescent="0.3">
      <c r="A561" s="55" t="s">
        <v>63</v>
      </c>
      <c r="B561" s="56">
        <v>105</v>
      </c>
      <c r="C561" s="56">
        <v>67</v>
      </c>
      <c r="D561" s="64">
        <f t="shared" si="9"/>
        <v>0.63809523809523805</v>
      </c>
      <c r="E561" s="59" t="s">
        <v>99</v>
      </c>
      <c r="F561" s="57"/>
    </row>
    <row r="562" spans="1:6" x14ac:dyDescent="0.3">
      <c r="A562" s="55" t="s">
        <v>58</v>
      </c>
      <c r="B562" s="56">
        <v>139</v>
      </c>
      <c r="C562" s="56">
        <v>101</v>
      </c>
      <c r="D562" s="64">
        <f t="shared" si="9"/>
        <v>0.72661870503597126</v>
      </c>
      <c r="E562" s="59" t="s">
        <v>99</v>
      </c>
      <c r="F562" s="57"/>
    </row>
    <row r="563" spans="1:6" x14ac:dyDescent="0.3">
      <c r="A563" s="55" t="s">
        <v>35</v>
      </c>
      <c r="B563" s="56">
        <v>1259</v>
      </c>
      <c r="C563" s="56">
        <v>953</v>
      </c>
      <c r="D563" s="64">
        <f t="shared" si="9"/>
        <v>0.75694996028594119</v>
      </c>
      <c r="E563" s="59" t="s">
        <v>99</v>
      </c>
      <c r="F563" s="57"/>
    </row>
    <row r="564" spans="1:6" x14ac:dyDescent="0.3">
      <c r="A564" s="55" t="s">
        <v>36</v>
      </c>
      <c r="B564" s="56">
        <v>1413</v>
      </c>
      <c r="C564" s="56">
        <v>918</v>
      </c>
      <c r="D564" s="64">
        <f t="shared" si="9"/>
        <v>0.64968152866242035</v>
      </c>
      <c r="E564" s="59" t="s">
        <v>99</v>
      </c>
      <c r="F564" s="57"/>
    </row>
    <row r="565" spans="1:6" x14ac:dyDescent="0.3">
      <c r="A565" s="55" t="s">
        <v>64</v>
      </c>
      <c r="B565" s="56">
        <v>1044</v>
      </c>
      <c r="C565" s="56">
        <v>790</v>
      </c>
      <c r="D565" s="64">
        <f t="shared" si="9"/>
        <v>0.75670498084291182</v>
      </c>
      <c r="E565" s="59" t="s">
        <v>99</v>
      </c>
      <c r="F565" s="57"/>
    </row>
    <row r="566" spans="1:6" x14ac:dyDescent="0.3">
      <c r="A566" s="55" t="s">
        <v>59</v>
      </c>
      <c r="B566" s="56">
        <v>231</v>
      </c>
      <c r="C566" s="56">
        <v>170</v>
      </c>
      <c r="D566" s="64">
        <f t="shared" si="9"/>
        <v>0.73593073593073588</v>
      </c>
      <c r="E566" s="59" t="s">
        <v>99</v>
      </c>
      <c r="F566" s="57"/>
    </row>
    <row r="567" spans="1:6" x14ac:dyDescent="0.3">
      <c r="A567" s="55" t="s">
        <v>60</v>
      </c>
      <c r="B567" s="56">
        <v>629</v>
      </c>
      <c r="C567" s="56">
        <v>414</v>
      </c>
      <c r="D567" s="64">
        <f t="shared" si="9"/>
        <v>0.6581875993640699</v>
      </c>
      <c r="E567" s="59" t="s">
        <v>99</v>
      </c>
      <c r="F567" s="57"/>
    </row>
    <row r="568" spans="1:6" x14ac:dyDescent="0.3">
      <c r="A568" s="55" t="s">
        <v>37</v>
      </c>
      <c r="B568" s="56">
        <v>299</v>
      </c>
      <c r="C568" s="56">
        <v>239</v>
      </c>
      <c r="D568" s="64">
        <f t="shared" si="9"/>
        <v>0.79933110367892979</v>
      </c>
      <c r="E568" s="59" t="s">
        <v>99</v>
      </c>
      <c r="F568" s="57"/>
    </row>
    <row r="569" spans="1:6" x14ac:dyDescent="0.3">
      <c r="A569" s="55" t="s">
        <v>61</v>
      </c>
      <c r="B569" s="56">
        <v>23</v>
      </c>
      <c r="C569" s="56">
        <v>20</v>
      </c>
      <c r="D569" s="64">
        <f t="shared" si="9"/>
        <v>0.86956521739130432</v>
      </c>
      <c r="E569" s="59" t="s">
        <v>99</v>
      </c>
      <c r="F569" s="57"/>
    </row>
    <row r="570" spans="1:6" x14ac:dyDescent="0.3">
      <c r="A570" s="55" t="s">
        <v>30</v>
      </c>
      <c r="B570" s="56">
        <v>6518</v>
      </c>
      <c r="C570" s="56">
        <v>4763</v>
      </c>
      <c r="D570" s="64">
        <f t="shared" si="9"/>
        <v>0.73074562749309602</v>
      </c>
      <c r="E570" s="59" t="s">
        <v>100</v>
      </c>
      <c r="F570" s="57"/>
    </row>
    <row r="571" spans="1:6" x14ac:dyDescent="0.3">
      <c r="A571" s="55" t="s">
        <v>31</v>
      </c>
      <c r="B571" s="56">
        <v>412</v>
      </c>
      <c r="C571" s="56">
        <v>290</v>
      </c>
      <c r="D571" s="64">
        <f t="shared" si="9"/>
        <v>0.70388349514563109</v>
      </c>
      <c r="E571" s="59" t="s">
        <v>100</v>
      </c>
      <c r="F571" s="57"/>
    </row>
    <row r="572" spans="1:6" x14ac:dyDescent="0.3">
      <c r="A572" s="55" t="s">
        <v>32</v>
      </c>
      <c r="B572" s="56">
        <v>36</v>
      </c>
      <c r="C572" s="56">
        <v>30</v>
      </c>
      <c r="D572" s="64">
        <f t="shared" si="9"/>
        <v>0.83333333333333337</v>
      </c>
      <c r="E572" s="59" t="s">
        <v>100</v>
      </c>
      <c r="F572" s="57"/>
    </row>
    <row r="573" spans="1:6" x14ac:dyDescent="0.3">
      <c r="A573" s="55" t="s">
        <v>33</v>
      </c>
      <c r="B573" s="56">
        <v>909</v>
      </c>
      <c r="C573" s="56">
        <v>840</v>
      </c>
      <c r="D573" s="64">
        <f t="shared" si="9"/>
        <v>0.92409240924092406</v>
      </c>
      <c r="E573" s="59" t="s">
        <v>100</v>
      </c>
      <c r="F573" s="57"/>
    </row>
    <row r="574" spans="1:6" x14ac:dyDescent="0.3">
      <c r="A574" s="55" t="s">
        <v>57</v>
      </c>
      <c r="B574" s="56">
        <v>43</v>
      </c>
      <c r="C574" s="56">
        <v>28</v>
      </c>
      <c r="D574" s="64">
        <f t="shared" si="9"/>
        <v>0.65116279069767447</v>
      </c>
      <c r="E574" s="59" t="s">
        <v>100</v>
      </c>
      <c r="F574" s="57"/>
    </row>
    <row r="575" spans="1:6" x14ac:dyDescent="0.3">
      <c r="A575" s="55" t="s">
        <v>63</v>
      </c>
      <c r="B575" s="56">
        <v>91</v>
      </c>
      <c r="C575" s="56">
        <v>61</v>
      </c>
      <c r="D575" s="64">
        <f t="shared" si="9"/>
        <v>0.67032967032967028</v>
      </c>
      <c r="E575" s="59" t="s">
        <v>100</v>
      </c>
      <c r="F575" s="57"/>
    </row>
    <row r="576" spans="1:6" x14ac:dyDescent="0.3">
      <c r="A576" s="55" t="s">
        <v>58</v>
      </c>
      <c r="B576" s="56">
        <v>98</v>
      </c>
      <c r="C576" s="56">
        <v>79</v>
      </c>
      <c r="D576" s="64">
        <f t="shared" si="9"/>
        <v>0.80612244897959184</v>
      </c>
      <c r="E576" s="59" t="s">
        <v>100</v>
      </c>
      <c r="F576" s="57"/>
    </row>
    <row r="577" spans="1:6" x14ac:dyDescent="0.3">
      <c r="A577" s="55" t="s">
        <v>35</v>
      </c>
      <c r="B577" s="56">
        <v>1411</v>
      </c>
      <c r="C577" s="56">
        <v>1042</v>
      </c>
      <c r="D577" s="64">
        <f t="shared" si="9"/>
        <v>0.73848334514528702</v>
      </c>
      <c r="E577" s="59" t="s">
        <v>100</v>
      </c>
      <c r="F577" s="57"/>
    </row>
    <row r="578" spans="1:6" x14ac:dyDescent="0.3">
      <c r="A578" s="55" t="s">
        <v>36</v>
      </c>
      <c r="B578" s="56">
        <v>1026</v>
      </c>
      <c r="C578" s="56">
        <v>643</v>
      </c>
      <c r="D578" s="64">
        <f t="shared" si="9"/>
        <v>0.62670565302144254</v>
      </c>
      <c r="E578" s="59" t="s">
        <v>100</v>
      </c>
      <c r="F578" s="57"/>
    </row>
    <row r="579" spans="1:6" x14ac:dyDescent="0.3">
      <c r="A579" s="55" t="s">
        <v>64</v>
      </c>
      <c r="B579" s="56">
        <v>1075</v>
      </c>
      <c r="C579" s="56">
        <v>801</v>
      </c>
      <c r="D579" s="64">
        <f t="shared" si="9"/>
        <v>0.74511627906976741</v>
      </c>
      <c r="E579" s="59" t="s">
        <v>100</v>
      </c>
      <c r="F579" s="57"/>
    </row>
    <row r="580" spans="1:6" x14ac:dyDescent="0.3">
      <c r="A580" s="55" t="s">
        <v>59</v>
      </c>
      <c r="B580" s="56">
        <v>371</v>
      </c>
      <c r="C580" s="56">
        <v>258</v>
      </c>
      <c r="D580" s="64">
        <f t="shared" si="9"/>
        <v>0.69541778975741242</v>
      </c>
      <c r="E580" s="59" t="s">
        <v>100</v>
      </c>
      <c r="F580" s="57"/>
    </row>
    <row r="581" spans="1:6" x14ac:dyDescent="0.3">
      <c r="A581" s="55" t="s">
        <v>60</v>
      </c>
      <c r="B581" s="56">
        <v>598</v>
      </c>
      <c r="C581" s="56">
        <v>366</v>
      </c>
      <c r="D581" s="64">
        <f t="shared" si="9"/>
        <v>0.61204013377926425</v>
      </c>
      <c r="E581" s="59" t="s">
        <v>100</v>
      </c>
      <c r="F581" s="57"/>
    </row>
    <row r="582" spans="1:6" x14ac:dyDescent="0.3">
      <c r="A582" s="55" t="s">
        <v>37</v>
      </c>
      <c r="B582" s="56">
        <v>361</v>
      </c>
      <c r="C582" s="56">
        <v>256</v>
      </c>
      <c r="D582" s="64">
        <f t="shared" si="9"/>
        <v>0.70914127423822715</v>
      </c>
      <c r="E582" s="59" t="s">
        <v>100</v>
      </c>
      <c r="F582" s="57"/>
    </row>
    <row r="583" spans="1:6" x14ac:dyDescent="0.3">
      <c r="A583" s="55" t="s">
        <v>61</v>
      </c>
      <c r="B583" s="56">
        <v>25</v>
      </c>
      <c r="C583" s="56">
        <v>22</v>
      </c>
      <c r="D583" s="64">
        <f t="shared" si="9"/>
        <v>0.88</v>
      </c>
      <c r="E583" s="59" t="s">
        <v>100</v>
      </c>
      <c r="F583" s="57"/>
    </row>
    <row r="584" spans="1:6" x14ac:dyDescent="0.3">
      <c r="A584" s="55" t="s">
        <v>62</v>
      </c>
      <c r="B584" s="56">
        <v>62</v>
      </c>
      <c r="C584" s="56">
        <v>47</v>
      </c>
      <c r="D584" s="64">
        <f t="shared" si="9"/>
        <v>0.75806451612903225</v>
      </c>
      <c r="E584" s="59" t="s">
        <v>100</v>
      </c>
      <c r="F584" s="57"/>
    </row>
    <row r="585" spans="1:6" x14ac:dyDescent="0.3">
      <c r="A585" s="55" t="s">
        <v>30</v>
      </c>
      <c r="B585" s="56">
        <v>7040</v>
      </c>
      <c r="C585" s="56">
        <v>4992</v>
      </c>
      <c r="D585" s="64">
        <f t="shared" si="9"/>
        <v>0.70909090909090911</v>
      </c>
      <c r="E585" s="59" t="s">
        <v>101</v>
      </c>
      <c r="F585" s="57"/>
    </row>
    <row r="586" spans="1:6" x14ac:dyDescent="0.3">
      <c r="A586" s="55" t="s">
        <v>31</v>
      </c>
      <c r="B586" s="56">
        <v>437</v>
      </c>
      <c r="C586" s="56">
        <v>301</v>
      </c>
      <c r="D586" s="64">
        <f t="shared" si="9"/>
        <v>0.68878718535469108</v>
      </c>
      <c r="E586" s="59" t="s">
        <v>101</v>
      </c>
      <c r="F586" s="57"/>
    </row>
    <row r="587" spans="1:6" x14ac:dyDescent="0.3">
      <c r="A587" s="55" t="s">
        <v>32</v>
      </c>
      <c r="B587" s="56">
        <v>36</v>
      </c>
      <c r="C587" s="56">
        <v>30</v>
      </c>
      <c r="D587" s="64">
        <f t="shared" si="9"/>
        <v>0.83333333333333337</v>
      </c>
      <c r="E587" s="59" t="s">
        <v>101</v>
      </c>
      <c r="F587" s="57"/>
    </row>
    <row r="588" spans="1:6" x14ac:dyDescent="0.3">
      <c r="A588" s="55" t="s">
        <v>33</v>
      </c>
      <c r="B588" s="56">
        <v>673</v>
      </c>
      <c r="C588" s="56">
        <v>621</v>
      </c>
      <c r="D588" s="64">
        <f t="shared" si="9"/>
        <v>0.92273402674591387</v>
      </c>
      <c r="E588" s="59" t="s">
        <v>101</v>
      </c>
      <c r="F588" s="57"/>
    </row>
    <row r="589" spans="1:6" x14ac:dyDescent="0.3">
      <c r="A589" s="55" t="s">
        <v>57</v>
      </c>
      <c r="B589" s="56">
        <v>36</v>
      </c>
      <c r="C589" s="56">
        <v>24</v>
      </c>
      <c r="D589" s="64">
        <f t="shared" si="9"/>
        <v>0.66666666666666663</v>
      </c>
      <c r="E589" s="59" t="s">
        <v>101</v>
      </c>
      <c r="F589" s="57"/>
    </row>
    <row r="590" spans="1:6" x14ac:dyDescent="0.3">
      <c r="A590" s="55" t="s">
        <v>63</v>
      </c>
      <c r="B590" s="56">
        <v>127</v>
      </c>
      <c r="C590" s="56">
        <v>84</v>
      </c>
      <c r="D590" s="64">
        <f t="shared" si="9"/>
        <v>0.66141732283464572</v>
      </c>
      <c r="E590" s="59" t="s">
        <v>101</v>
      </c>
      <c r="F590" s="57"/>
    </row>
    <row r="591" spans="1:6" x14ac:dyDescent="0.3">
      <c r="A591" s="55" t="s">
        <v>58</v>
      </c>
      <c r="B591" s="56">
        <v>94</v>
      </c>
      <c r="C591" s="56">
        <v>77</v>
      </c>
      <c r="D591" s="64">
        <f t="shared" si="9"/>
        <v>0.81914893617021278</v>
      </c>
      <c r="E591" s="59" t="s">
        <v>101</v>
      </c>
      <c r="F591" s="57"/>
    </row>
    <row r="592" spans="1:6" x14ac:dyDescent="0.3">
      <c r="A592" s="55" t="s">
        <v>35</v>
      </c>
      <c r="B592" s="56">
        <v>1569</v>
      </c>
      <c r="C592" s="56">
        <v>1123</v>
      </c>
      <c r="D592" s="64">
        <f t="shared" si="9"/>
        <v>0.71574251115360099</v>
      </c>
      <c r="E592" s="59" t="s">
        <v>101</v>
      </c>
      <c r="F592" s="57"/>
    </row>
    <row r="593" spans="1:6" x14ac:dyDescent="0.3">
      <c r="A593" s="55" t="s">
        <v>36</v>
      </c>
      <c r="B593" s="56">
        <v>1477</v>
      </c>
      <c r="C593" s="56">
        <v>930</v>
      </c>
      <c r="D593" s="64">
        <f t="shared" si="9"/>
        <v>0.62965470548408942</v>
      </c>
      <c r="E593" s="59" t="s">
        <v>101</v>
      </c>
      <c r="F593" s="57"/>
    </row>
    <row r="594" spans="1:6" x14ac:dyDescent="0.3">
      <c r="A594" s="55" t="s">
        <v>64</v>
      </c>
      <c r="B594" s="56">
        <v>1224</v>
      </c>
      <c r="C594" s="56">
        <v>872</v>
      </c>
      <c r="D594" s="64">
        <f t="shared" si="9"/>
        <v>0.71241830065359479</v>
      </c>
      <c r="E594" s="59" t="s">
        <v>101</v>
      </c>
      <c r="F594" s="57"/>
    </row>
    <row r="595" spans="1:6" x14ac:dyDescent="0.3">
      <c r="A595" s="55" t="s">
        <v>59</v>
      </c>
      <c r="B595" s="56">
        <v>453</v>
      </c>
      <c r="C595" s="56">
        <v>306</v>
      </c>
      <c r="D595" s="64">
        <f t="shared" si="9"/>
        <v>0.67549668874172186</v>
      </c>
      <c r="E595" s="59" t="s">
        <v>101</v>
      </c>
      <c r="F595" s="57"/>
    </row>
    <row r="596" spans="1:6" x14ac:dyDescent="0.3">
      <c r="A596" s="55" t="s">
        <v>60</v>
      </c>
      <c r="B596" s="56">
        <v>440</v>
      </c>
      <c r="C596" s="56">
        <v>276</v>
      </c>
      <c r="D596" s="64">
        <f t="shared" si="9"/>
        <v>0.62727272727272732</v>
      </c>
      <c r="E596" s="59" t="s">
        <v>101</v>
      </c>
      <c r="F596" s="57"/>
    </row>
    <row r="597" spans="1:6" x14ac:dyDescent="0.3">
      <c r="A597" s="55" t="s">
        <v>37</v>
      </c>
      <c r="B597" s="56">
        <v>382</v>
      </c>
      <c r="C597" s="56">
        <v>276</v>
      </c>
      <c r="D597" s="64">
        <f t="shared" si="9"/>
        <v>0.72251308900523559</v>
      </c>
      <c r="E597" s="59" t="s">
        <v>101</v>
      </c>
      <c r="F597" s="57"/>
    </row>
    <row r="598" spans="1:6" x14ac:dyDescent="0.3">
      <c r="A598" s="55" t="s">
        <v>61</v>
      </c>
      <c r="B598" s="56">
        <v>51</v>
      </c>
      <c r="C598" s="56">
        <v>45</v>
      </c>
      <c r="D598" s="64">
        <f t="shared" si="9"/>
        <v>0.88235294117647056</v>
      </c>
      <c r="E598" s="59" t="s">
        <v>101</v>
      </c>
      <c r="F598" s="57"/>
    </row>
    <row r="599" spans="1:6" x14ac:dyDescent="0.3">
      <c r="A599" s="55" t="s">
        <v>62</v>
      </c>
      <c r="B599" s="56">
        <v>41</v>
      </c>
      <c r="C599" s="56">
        <v>27</v>
      </c>
      <c r="D599" s="64">
        <f t="shared" si="9"/>
        <v>0.65853658536585369</v>
      </c>
      <c r="E599" s="59" t="s">
        <v>101</v>
      </c>
      <c r="F599" s="57"/>
    </row>
    <row r="600" spans="1:6" x14ac:dyDescent="0.3">
      <c r="A600" s="55" t="s">
        <v>30</v>
      </c>
      <c r="B600" s="56">
        <v>7134</v>
      </c>
      <c r="C600" s="56">
        <v>5178</v>
      </c>
      <c r="D600" s="64">
        <f t="shared" si="9"/>
        <v>0.72582001682085784</v>
      </c>
      <c r="E600" s="59" t="s">
        <v>102</v>
      </c>
      <c r="F600" s="57"/>
    </row>
    <row r="601" spans="1:6" x14ac:dyDescent="0.3">
      <c r="A601" s="55" t="s">
        <v>31</v>
      </c>
      <c r="B601" s="56">
        <v>407</v>
      </c>
      <c r="C601" s="56">
        <v>309</v>
      </c>
      <c r="D601" s="64">
        <f t="shared" si="9"/>
        <v>0.75921375921375922</v>
      </c>
      <c r="E601" s="59" t="s">
        <v>102</v>
      </c>
      <c r="F601" s="57"/>
    </row>
    <row r="602" spans="1:6" x14ac:dyDescent="0.3">
      <c r="A602" s="55" t="s">
        <v>32</v>
      </c>
      <c r="B602" s="56">
        <v>28</v>
      </c>
      <c r="C602" s="56">
        <v>19</v>
      </c>
      <c r="D602" s="64">
        <f t="shared" si="9"/>
        <v>0.6785714285714286</v>
      </c>
      <c r="E602" s="59" t="s">
        <v>102</v>
      </c>
      <c r="F602" s="57"/>
    </row>
    <row r="603" spans="1:6" x14ac:dyDescent="0.3">
      <c r="A603" s="55" t="s">
        <v>33</v>
      </c>
      <c r="B603" s="56">
        <v>736</v>
      </c>
      <c r="C603" s="56">
        <v>684</v>
      </c>
      <c r="D603" s="64">
        <f t="shared" si="9"/>
        <v>0.92934782608695654</v>
      </c>
      <c r="E603" s="59" t="s">
        <v>102</v>
      </c>
      <c r="F603" s="57"/>
    </row>
    <row r="604" spans="1:6" x14ac:dyDescent="0.3">
      <c r="A604" s="55" t="s">
        <v>57</v>
      </c>
      <c r="B604" s="56">
        <v>99</v>
      </c>
      <c r="C604" s="56">
        <v>68</v>
      </c>
      <c r="D604" s="64">
        <f t="shared" ref="D604:D667" si="10">SUM(C604/B604)</f>
        <v>0.68686868686868685</v>
      </c>
      <c r="E604" s="59" t="s">
        <v>102</v>
      </c>
      <c r="F604" s="57"/>
    </row>
    <row r="605" spans="1:6" x14ac:dyDescent="0.3">
      <c r="A605" s="55" t="s">
        <v>63</v>
      </c>
      <c r="B605" s="56">
        <v>39</v>
      </c>
      <c r="C605" s="56">
        <v>23</v>
      </c>
      <c r="D605" s="64">
        <f t="shared" si="10"/>
        <v>0.58974358974358976</v>
      </c>
      <c r="E605" s="59" t="s">
        <v>102</v>
      </c>
      <c r="F605" s="57"/>
    </row>
    <row r="606" spans="1:6" x14ac:dyDescent="0.3">
      <c r="A606" s="55" t="s">
        <v>58</v>
      </c>
      <c r="B606" s="56">
        <v>118</v>
      </c>
      <c r="C606" s="56">
        <v>82</v>
      </c>
      <c r="D606" s="64">
        <f t="shared" si="10"/>
        <v>0.69491525423728817</v>
      </c>
      <c r="E606" s="59" t="s">
        <v>102</v>
      </c>
      <c r="F606" s="57"/>
    </row>
    <row r="607" spans="1:6" x14ac:dyDescent="0.3">
      <c r="A607" s="55" t="s">
        <v>35</v>
      </c>
      <c r="B607" s="56">
        <v>1480</v>
      </c>
      <c r="C607" s="56">
        <v>1074</v>
      </c>
      <c r="D607" s="64">
        <f t="shared" si="10"/>
        <v>0.7256756756756757</v>
      </c>
      <c r="E607" s="59" t="s">
        <v>102</v>
      </c>
      <c r="F607" s="57"/>
    </row>
    <row r="608" spans="1:6" x14ac:dyDescent="0.3">
      <c r="A608" s="55" t="s">
        <v>36</v>
      </c>
      <c r="B608" s="56">
        <v>1393</v>
      </c>
      <c r="C608" s="56">
        <v>893</v>
      </c>
      <c r="D608" s="64">
        <f t="shared" si="10"/>
        <v>0.64106245513280691</v>
      </c>
      <c r="E608" s="59" t="s">
        <v>102</v>
      </c>
      <c r="F608" s="57"/>
    </row>
    <row r="609" spans="1:8" x14ac:dyDescent="0.3">
      <c r="A609" s="55" t="s">
        <v>64</v>
      </c>
      <c r="B609" s="56">
        <v>1341</v>
      </c>
      <c r="C609" s="56">
        <v>985</v>
      </c>
      <c r="D609" s="64">
        <f t="shared" si="10"/>
        <v>0.73452647278150629</v>
      </c>
      <c r="E609" s="59" t="s">
        <v>102</v>
      </c>
      <c r="F609" s="57"/>
    </row>
    <row r="610" spans="1:8" x14ac:dyDescent="0.3">
      <c r="A610" s="55" t="s">
        <v>59</v>
      </c>
      <c r="B610" s="56">
        <v>312</v>
      </c>
      <c r="C610" s="56">
        <v>214</v>
      </c>
      <c r="D610" s="64">
        <f t="shared" si="10"/>
        <v>0.6858974358974359</v>
      </c>
      <c r="E610" s="59" t="s">
        <v>102</v>
      </c>
      <c r="F610" s="57"/>
    </row>
    <row r="611" spans="1:8" x14ac:dyDescent="0.3">
      <c r="A611" s="55" t="s">
        <v>60</v>
      </c>
      <c r="B611" s="56">
        <v>617</v>
      </c>
      <c r="C611" s="56">
        <v>391</v>
      </c>
      <c r="D611" s="64">
        <f t="shared" si="10"/>
        <v>0.6337115072933549</v>
      </c>
      <c r="E611" s="59" t="s">
        <v>102</v>
      </c>
      <c r="F611" s="57"/>
    </row>
    <row r="612" spans="1:8" x14ac:dyDescent="0.3">
      <c r="A612" s="55" t="s">
        <v>37</v>
      </c>
      <c r="B612" s="56">
        <v>536</v>
      </c>
      <c r="C612" s="56">
        <v>416</v>
      </c>
      <c r="D612" s="64">
        <f t="shared" si="10"/>
        <v>0.77611940298507465</v>
      </c>
      <c r="E612" s="59" t="s">
        <v>102</v>
      </c>
      <c r="F612" s="57"/>
    </row>
    <row r="613" spans="1:8" x14ac:dyDescent="0.3">
      <c r="A613" s="55" t="s">
        <v>61</v>
      </c>
      <c r="B613" s="56">
        <v>8</v>
      </c>
      <c r="C613" s="56">
        <v>7</v>
      </c>
      <c r="D613" s="64">
        <f t="shared" si="10"/>
        <v>0.875</v>
      </c>
      <c r="E613" s="59" t="s">
        <v>102</v>
      </c>
      <c r="F613" s="57"/>
    </row>
    <row r="614" spans="1:8" x14ac:dyDescent="0.3">
      <c r="A614" s="55" t="s">
        <v>62</v>
      </c>
      <c r="B614" s="56">
        <v>20</v>
      </c>
      <c r="C614" s="56">
        <v>13</v>
      </c>
      <c r="D614" s="64">
        <f t="shared" si="10"/>
        <v>0.65</v>
      </c>
      <c r="E614" s="59" t="s">
        <v>102</v>
      </c>
      <c r="F614" s="57"/>
    </row>
    <row r="615" spans="1:8" x14ac:dyDescent="0.3">
      <c r="A615" s="55" t="s">
        <v>30</v>
      </c>
      <c r="B615" s="56">
        <v>5438</v>
      </c>
      <c r="C615" s="56">
        <v>3962</v>
      </c>
      <c r="D615" s="64">
        <f t="shared" si="10"/>
        <v>0.72857668260389852</v>
      </c>
      <c r="E615" s="59" t="s">
        <v>103</v>
      </c>
      <c r="F615" s="57"/>
      <c r="G615"/>
      <c r="H615"/>
    </row>
    <row r="616" spans="1:8" x14ac:dyDescent="0.3">
      <c r="A616" s="55" t="s">
        <v>31</v>
      </c>
      <c r="B616" s="56">
        <v>402</v>
      </c>
      <c r="C616" s="56">
        <v>287</v>
      </c>
      <c r="D616" s="64">
        <f t="shared" si="10"/>
        <v>0.71393034825870649</v>
      </c>
      <c r="E616" s="59" t="s">
        <v>103</v>
      </c>
      <c r="F616" s="57"/>
      <c r="G616"/>
      <c r="H616"/>
    </row>
    <row r="617" spans="1:8" x14ac:dyDescent="0.3">
      <c r="A617" s="55" t="s">
        <v>32</v>
      </c>
      <c r="B617" s="56">
        <v>23</v>
      </c>
      <c r="C617" s="56">
        <v>16</v>
      </c>
      <c r="D617" s="64">
        <f t="shared" si="10"/>
        <v>0.69565217391304346</v>
      </c>
      <c r="E617" s="59" t="s">
        <v>103</v>
      </c>
      <c r="F617" s="57"/>
      <c r="G617"/>
      <c r="H617"/>
    </row>
    <row r="618" spans="1:8" x14ac:dyDescent="0.3">
      <c r="A618" s="55" t="s">
        <v>33</v>
      </c>
      <c r="B618" s="56">
        <v>643</v>
      </c>
      <c r="C618" s="56">
        <v>600</v>
      </c>
      <c r="D618" s="64">
        <f t="shared" si="10"/>
        <v>0.93312597200622083</v>
      </c>
      <c r="E618" s="59" t="s">
        <v>103</v>
      </c>
      <c r="F618" s="57"/>
      <c r="G618"/>
      <c r="H618"/>
    </row>
    <row r="619" spans="1:8" x14ac:dyDescent="0.3">
      <c r="A619" s="55" t="s">
        <v>57</v>
      </c>
      <c r="B619" s="56">
        <v>84</v>
      </c>
      <c r="C619" s="56">
        <v>68</v>
      </c>
      <c r="D619" s="64">
        <f t="shared" si="10"/>
        <v>0.80952380952380953</v>
      </c>
      <c r="E619" s="59" t="s">
        <v>103</v>
      </c>
      <c r="F619" s="57"/>
      <c r="G619"/>
      <c r="H619"/>
    </row>
    <row r="620" spans="1:8" x14ac:dyDescent="0.3">
      <c r="A620" s="55" t="s">
        <v>58</v>
      </c>
      <c r="B620" s="56">
        <v>110</v>
      </c>
      <c r="C620" s="56">
        <v>85</v>
      </c>
      <c r="D620" s="64">
        <f t="shared" si="10"/>
        <v>0.77272727272727271</v>
      </c>
      <c r="E620" s="59" t="s">
        <v>103</v>
      </c>
      <c r="F620" s="57"/>
      <c r="G620"/>
      <c r="H620"/>
    </row>
    <row r="621" spans="1:8" x14ac:dyDescent="0.3">
      <c r="A621" s="55" t="s">
        <v>35</v>
      </c>
      <c r="B621" s="56">
        <v>1038</v>
      </c>
      <c r="C621" s="56">
        <v>757</v>
      </c>
      <c r="D621" s="64">
        <f t="shared" si="10"/>
        <v>0.72928709055876684</v>
      </c>
      <c r="E621" s="59" t="s">
        <v>103</v>
      </c>
      <c r="F621" s="57"/>
      <c r="G621"/>
      <c r="H621"/>
    </row>
    <row r="622" spans="1:8" x14ac:dyDescent="0.3">
      <c r="A622" s="55" t="s">
        <v>36</v>
      </c>
      <c r="B622" s="56">
        <v>1068</v>
      </c>
      <c r="C622" s="56">
        <v>661</v>
      </c>
      <c r="D622" s="64">
        <f t="shared" si="10"/>
        <v>0.61891385767790263</v>
      </c>
      <c r="E622" s="59" t="s">
        <v>103</v>
      </c>
      <c r="F622" s="57"/>
      <c r="G622"/>
      <c r="H622"/>
    </row>
    <row r="623" spans="1:8" x14ac:dyDescent="0.3">
      <c r="A623" s="55" t="s">
        <v>64</v>
      </c>
      <c r="B623" s="56">
        <v>1007</v>
      </c>
      <c r="C623" s="56">
        <v>739</v>
      </c>
      <c r="D623" s="64">
        <f t="shared" si="10"/>
        <v>0.733862959285005</v>
      </c>
      <c r="E623" s="59" t="s">
        <v>103</v>
      </c>
      <c r="F623" s="57"/>
      <c r="G623"/>
      <c r="H623"/>
    </row>
    <row r="624" spans="1:8" x14ac:dyDescent="0.3">
      <c r="A624" s="55" t="s">
        <v>59</v>
      </c>
      <c r="B624" s="56">
        <v>308</v>
      </c>
      <c r="C624" s="56">
        <v>214</v>
      </c>
      <c r="D624" s="64">
        <f t="shared" si="10"/>
        <v>0.69480519480519476</v>
      </c>
      <c r="E624" s="59" t="s">
        <v>103</v>
      </c>
      <c r="F624" s="57"/>
      <c r="G624"/>
      <c r="H624"/>
    </row>
    <row r="625" spans="1:8" x14ac:dyDescent="0.3">
      <c r="A625" s="55" t="s">
        <v>60</v>
      </c>
      <c r="B625" s="56">
        <v>449</v>
      </c>
      <c r="C625" s="56">
        <v>289</v>
      </c>
      <c r="D625" s="64">
        <f t="shared" si="10"/>
        <v>0.64365256124721604</v>
      </c>
      <c r="E625" s="59" t="s">
        <v>103</v>
      </c>
      <c r="F625" s="57"/>
      <c r="G625"/>
      <c r="H625"/>
    </row>
    <row r="626" spans="1:8" x14ac:dyDescent="0.3">
      <c r="A626" s="55" t="s">
        <v>37</v>
      </c>
      <c r="B626" s="56">
        <v>299</v>
      </c>
      <c r="C626" s="56">
        <v>240</v>
      </c>
      <c r="D626" s="64">
        <f t="shared" si="10"/>
        <v>0.80267558528428096</v>
      </c>
      <c r="E626" s="59" t="s">
        <v>103</v>
      </c>
      <c r="F626" s="57"/>
      <c r="G626"/>
      <c r="H626"/>
    </row>
    <row r="627" spans="1:8" x14ac:dyDescent="0.3">
      <c r="A627" s="55" t="s">
        <v>61</v>
      </c>
      <c r="B627" s="56">
        <v>7</v>
      </c>
      <c r="C627" s="56">
        <v>6</v>
      </c>
      <c r="D627" s="64">
        <f t="shared" si="10"/>
        <v>0.8571428571428571</v>
      </c>
      <c r="E627" s="59" t="s">
        <v>103</v>
      </c>
      <c r="F627" s="57"/>
      <c r="G627"/>
      <c r="H627"/>
    </row>
    <row r="628" spans="1:8" x14ac:dyDescent="0.3">
      <c r="A628" s="55" t="s">
        <v>30</v>
      </c>
      <c r="B628" s="56">
        <v>5822</v>
      </c>
      <c r="C628" s="56">
        <v>4266</v>
      </c>
      <c r="D628" s="64">
        <f t="shared" si="10"/>
        <v>0.73273789075918927</v>
      </c>
      <c r="E628" s="59" t="s">
        <v>104</v>
      </c>
      <c r="F628" s="57"/>
      <c r="G628"/>
      <c r="H628"/>
    </row>
    <row r="629" spans="1:8" x14ac:dyDescent="0.3">
      <c r="A629" s="55" t="s">
        <v>31</v>
      </c>
      <c r="B629" s="56">
        <v>500</v>
      </c>
      <c r="C629" s="56">
        <v>351</v>
      </c>
      <c r="D629" s="64">
        <f t="shared" si="10"/>
        <v>0.70199999999999996</v>
      </c>
      <c r="E629" s="59" t="s">
        <v>104</v>
      </c>
      <c r="F629" s="57"/>
      <c r="G629"/>
      <c r="H629"/>
    </row>
    <row r="630" spans="1:8" x14ac:dyDescent="0.3">
      <c r="A630" s="55" t="s">
        <v>32</v>
      </c>
      <c r="B630" s="56">
        <v>29</v>
      </c>
      <c r="C630" s="56">
        <v>20</v>
      </c>
      <c r="D630" s="64">
        <f t="shared" si="10"/>
        <v>0.68965517241379315</v>
      </c>
      <c r="E630" s="59" t="s">
        <v>104</v>
      </c>
      <c r="F630" s="57"/>
    </row>
    <row r="631" spans="1:8" x14ac:dyDescent="0.3">
      <c r="A631" s="55" t="s">
        <v>33</v>
      </c>
      <c r="B631" s="56">
        <v>617</v>
      </c>
      <c r="C631" s="56">
        <v>581</v>
      </c>
      <c r="D631" s="64">
        <f t="shared" si="10"/>
        <v>0.94165316045380876</v>
      </c>
      <c r="E631" s="59" t="s">
        <v>104</v>
      </c>
      <c r="F631" s="57"/>
    </row>
    <row r="632" spans="1:8" x14ac:dyDescent="0.3">
      <c r="A632" s="55" t="s">
        <v>57</v>
      </c>
      <c r="B632" s="56">
        <v>108</v>
      </c>
      <c r="C632" s="56">
        <v>65</v>
      </c>
      <c r="D632" s="64">
        <f t="shared" si="10"/>
        <v>0.60185185185185186</v>
      </c>
      <c r="E632" s="59" t="s">
        <v>104</v>
      </c>
      <c r="F632" s="57"/>
    </row>
    <row r="633" spans="1:8" x14ac:dyDescent="0.3">
      <c r="A633" s="55" t="s">
        <v>63</v>
      </c>
      <c r="B633" s="56">
        <v>32</v>
      </c>
      <c r="C633" s="56">
        <v>17</v>
      </c>
      <c r="D633" s="64">
        <f t="shared" si="10"/>
        <v>0.53125</v>
      </c>
      <c r="E633" s="59" t="s">
        <v>104</v>
      </c>
      <c r="F633" s="57"/>
    </row>
    <row r="634" spans="1:8" x14ac:dyDescent="0.3">
      <c r="A634" s="55" t="s">
        <v>58</v>
      </c>
      <c r="B634" s="56">
        <v>92</v>
      </c>
      <c r="C634" s="56">
        <v>64</v>
      </c>
      <c r="D634" s="64">
        <f t="shared" si="10"/>
        <v>0.69565217391304346</v>
      </c>
      <c r="E634" s="59" t="s">
        <v>104</v>
      </c>
      <c r="F634" s="57"/>
    </row>
    <row r="635" spans="1:8" x14ac:dyDescent="0.3">
      <c r="A635" s="55" t="s">
        <v>35</v>
      </c>
      <c r="B635" s="56">
        <v>1180</v>
      </c>
      <c r="C635" s="56">
        <v>868</v>
      </c>
      <c r="D635" s="64">
        <f t="shared" si="10"/>
        <v>0.735593220338983</v>
      </c>
      <c r="E635" s="59" t="s">
        <v>104</v>
      </c>
      <c r="F635" s="57"/>
    </row>
    <row r="636" spans="1:8" x14ac:dyDescent="0.3">
      <c r="A636" s="55" t="s">
        <v>36</v>
      </c>
      <c r="B636" s="56">
        <v>1003</v>
      </c>
      <c r="C636" s="56">
        <v>648</v>
      </c>
      <c r="D636" s="64">
        <f t="shared" si="10"/>
        <v>0.64606181455633105</v>
      </c>
      <c r="E636" s="59" t="s">
        <v>104</v>
      </c>
      <c r="F636" s="57"/>
    </row>
    <row r="637" spans="1:8" x14ac:dyDescent="0.3">
      <c r="A637" s="55" t="s">
        <v>64</v>
      </c>
      <c r="B637" s="56">
        <v>966</v>
      </c>
      <c r="C637" s="56">
        <v>732</v>
      </c>
      <c r="D637" s="64">
        <f t="shared" si="10"/>
        <v>0.75776397515527949</v>
      </c>
      <c r="E637" s="59" t="s">
        <v>104</v>
      </c>
      <c r="F637" s="57"/>
    </row>
    <row r="638" spans="1:8" x14ac:dyDescent="0.3">
      <c r="A638" s="55" t="s">
        <v>59</v>
      </c>
      <c r="B638" s="56">
        <v>314</v>
      </c>
      <c r="C638" s="56">
        <v>211</v>
      </c>
      <c r="D638" s="64">
        <f t="shared" si="10"/>
        <v>0.67197452229299359</v>
      </c>
      <c r="E638" s="59" t="s">
        <v>104</v>
      </c>
      <c r="F638" s="57"/>
    </row>
    <row r="639" spans="1:8" x14ac:dyDescent="0.3">
      <c r="A639" s="55" t="s">
        <v>60</v>
      </c>
      <c r="B639" s="56">
        <v>505</v>
      </c>
      <c r="C639" s="56">
        <v>339</v>
      </c>
      <c r="D639" s="64">
        <f t="shared" si="10"/>
        <v>0.67128712871287133</v>
      </c>
      <c r="E639" s="59" t="s">
        <v>104</v>
      </c>
      <c r="F639" s="57"/>
    </row>
    <row r="640" spans="1:8" x14ac:dyDescent="0.3">
      <c r="A640" s="55" t="s">
        <v>37</v>
      </c>
      <c r="B640" s="56">
        <v>291</v>
      </c>
      <c r="C640" s="56">
        <v>241</v>
      </c>
      <c r="D640" s="64">
        <f t="shared" si="10"/>
        <v>0.82817869415807566</v>
      </c>
      <c r="E640" s="59" t="s">
        <v>104</v>
      </c>
      <c r="F640" s="57"/>
    </row>
    <row r="641" spans="1:6" x14ac:dyDescent="0.3">
      <c r="A641" s="55" t="s">
        <v>61</v>
      </c>
      <c r="B641" s="56">
        <v>14</v>
      </c>
      <c r="C641" s="56">
        <v>12</v>
      </c>
      <c r="D641" s="64">
        <f t="shared" si="10"/>
        <v>0.8571428571428571</v>
      </c>
      <c r="E641" s="59" t="s">
        <v>104</v>
      </c>
      <c r="F641"/>
    </row>
    <row r="642" spans="1:6" x14ac:dyDescent="0.3">
      <c r="A642" s="55" t="s">
        <v>62</v>
      </c>
      <c r="B642" s="56">
        <v>171</v>
      </c>
      <c r="C642" s="56">
        <v>117</v>
      </c>
      <c r="D642" s="64">
        <f t="shared" si="10"/>
        <v>0.68421052631578949</v>
      </c>
      <c r="E642" s="59" t="s">
        <v>104</v>
      </c>
      <c r="F642" s="57"/>
    </row>
    <row r="643" spans="1:6" x14ac:dyDescent="0.3">
      <c r="A643" s="55" t="s">
        <v>30</v>
      </c>
      <c r="B643" s="56">
        <v>6619</v>
      </c>
      <c r="C643" s="56">
        <v>4863</v>
      </c>
      <c r="D643" s="64">
        <f t="shared" si="10"/>
        <v>0.73470312736062848</v>
      </c>
      <c r="E643" s="59" t="s">
        <v>105</v>
      </c>
      <c r="F643" s="57"/>
    </row>
    <row r="644" spans="1:6" x14ac:dyDescent="0.3">
      <c r="A644" s="55" t="s">
        <v>31</v>
      </c>
      <c r="B644" s="56">
        <v>657</v>
      </c>
      <c r="C644" s="56">
        <v>463</v>
      </c>
      <c r="D644" s="64">
        <f t="shared" si="10"/>
        <v>0.70471841704718419</v>
      </c>
      <c r="E644" s="59" t="s">
        <v>105</v>
      </c>
      <c r="F644" s="57"/>
    </row>
    <row r="645" spans="1:6" x14ac:dyDescent="0.3">
      <c r="A645" s="55" t="s">
        <v>32</v>
      </c>
      <c r="B645" s="56">
        <v>27</v>
      </c>
      <c r="C645" s="56">
        <v>18</v>
      </c>
      <c r="D645" s="64">
        <f t="shared" si="10"/>
        <v>0.66666666666666663</v>
      </c>
      <c r="E645" s="59" t="s">
        <v>105</v>
      </c>
      <c r="F645" s="57"/>
    </row>
    <row r="646" spans="1:6" x14ac:dyDescent="0.3">
      <c r="A646" s="55" t="s">
        <v>33</v>
      </c>
      <c r="B646" s="56">
        <v>832</v>
      </c>
      <c r="C646" s="56">
        <v>757</v>
      </c>
      <c r="D646" s="64">
        <f t="shared" si="10"/>
        <v>0.90985576923076927</v>
      </c>
      <c r="E646" s="59" t="s">
        <v>105</v>
      </c>
      <c r="F646" s="57"/>
    </row>
    <row r="647" spans="1:6" x14ac:dyDescent="0.3">
      <c r="A647" s="55" t="s">
        <v>57</v>
      </c>
      <c r="B647" s="56">
        <v>47</v>
      </c>
      <c r="C647" s="56">
        <v>36</v>
      </c>
      <c r="D647" s="64">
        <f t="shared" si="10"/>
        <v>0.76595744680851063</v>
      </c>
      <c r="E647" s="59" t="s">
        <v>105</v>
      </c>
      <c r="F647" s="57"/>
    </row>
    <row r="648" spans="1:6" x14ac:dyDescent="0.3">
      <c r="A648" s="55" t="s">
        <v>63</v>
      </c>
      <c r="B648" s="56">
        <v>22</v>
      </c>
      <c r="C648" s="56">
        <v>13</v>
      </c>
      <c r="D648" s="64">
        <f t="shared" si="10"/>
        <v>0.59090909090909094</v>
      </c>
      <c r="E648" s="59" t="s">
        <v>105</v>
      </c>
      <c r="F648" s="57"/>
    </row>
    <row r="649" spans="1:6" x14ac:dyDescent="0.3">
      <c r="A649" s="55" t="s">
        <v>58</v>
      </c>
      <c r="B649" s="56">
        <v>93</v>
      </c>
      <c r="C649" s="56">
        <v>72</v>
      </c>
      <c r="D649" s="64">
        <f t="shared" si="10"/>
        <v>0.77419354838709675</v>
      </c>
      <c r="E649" s="59" t="s">
        <v>105</v>
      </c>
      <c r="F649" s="57"/>
    </row>
    <row r="650" spans="1:6" x14ac:dyDescent="0.3">
      <c r="A650" s="55" t="s">
        <v>35</v>
      </c>
      <c r="B650" s="56">
        <v>1410</v>
      </c>
      <c r="C650" s="56">
        <v>1035</v>
      </c>
      <c r="D650" s="64">
        <f t="shared" si="10"/>
        <v>0.73404255319148937</v>
      </c>
      <c r="E650" s="59" t="s">
        <v>105</v>
      </c>
      <c r="F650" s="57"/>
    </row>
    <row r="651" spans="1:6" x14ac:dyDescent="0.3">
      <c r="A651" s="55" t="s">
        <v>36</v>
      </c>
      <c r="B651" s="56">
        <v>1071</v>
      </c>
      <c r="C651" s="56">
        <v>666</v>
      </c>
      <c r="D651" s="64">
        <f t="shared" si="10"/>
        <v>0.62184873949579833</v>
      </c>
      <c r="E651" s="59" t="s">
        <v>105</v>
      </c>
      <c r="F651" s="57"/>
    </row>
    <row r="652" spans="1:6" x14ac:dyDescent="0.3">
      <c r="A652" s="55" t="s">
        <v>64</v>
      </c>
      <c r="B652" s="56">
        <v>944</v>
      </c>
      <c r="C652" s="56">
        <v>727</v>
      </c>
      <c r="D652" s="64">
        <f t="shared" si="10"/>
        <v>0.7701271186440678</v>
      </c>
      <c r="E652" s="59" t="s">
        <v>105</v>
      </c>
      <c r="F652" s="57"/>
    </row>
    <row r="653" spans="1:6" x14ac:dyDescent="0.3">
      <c r="A653" s="55" t="s">
        <v>59</v>
      </c>
      <c r="B653" s="56">
        <v>369</v>
      </c>
      <c r="C653" s="56">
        <v>246</v>
      </c>
      <c r="D653" s="64">
        <f t="shared" si="10"/>
        <v>0.66666666666666663</v>
      </c>
      <c r="E653" s="59" t="s">
        <v>105</v>
      </c>
      <c r="F653" s="57"/>
    </row>
    <row r="654" spans="1:6" x14ac:dyDescent="0.3">
      <c r="A654" s="55" t="s">
        <v>60</v>
      </c>
      <c r="B654" s="56">
        <v>513</v>
      </c>
      <c r="C654" s="56">
        <v>342</v>
      </c>
      <c r="D654" s="64">
        <f t="shared" si="10"/>
        <v>0.66666666666666663</v>
      </c>
      <c r="E654" s="59" t="s">
        <v>105</v>
      </c>
      <c r="F654" s="57"/>
    </row>
    <row r="655" spans="1:6" x14ac:dyDescent="0.3">
      <c r="A655" s="55" t="s">
        <v>37</v>
      </c>
      <c r="B655" s="56">
        <v>323</v>
      </c>
      <c r="C655" s="56">
        <v>241</v>
      </c>
      <c r="D655" s="64">
        <f t="shared" si="10"/>
        <v>0.74613003095975228</v>
      </c>
      <c r="E655" s="59" t="s">
        <v>105</v>
      </c>
      <c r="F655" s="57"/>
    </row>
    <row r="656" spans="1:6" x14ac:dyDescent="0.3">
      <c r="A656" s="55" t="s">
        <v>61</v>
      </c>
      <c r="B656" s="56">
        <v>26</v>
      </c>
      <c r="C656" s="56">
        <v>24</v>
      </c>
      <c r="D656" s="64">
        <f t="shared" si="10"/>
        <v>0.92307692307692313</v>
      </c>
      <c r="E656" s="59" t="s">
        <v>105</v>
      </c>
      <c r="F656" s="57"/>
    </row>
    <row r="657" spans="1:6" x14ac:dyDescent="0.3">
      <c r="A657" s="55" t="s">
        <v>62</v>
      </c>
      <c r="B657" s="56">
        <v>285</v>
      </c>
      <c r="C657" s="56">
        <v>223</v>
      </c>
      <c r="D657" s="64">
        <f t="shared" si="10"/>
        <v>0.78245614035087718</v>
      </c>
      <c r="E657" s="59" t="s">
        <v>105</v>
      </c>
      <c r="F657" s="57"/>
    </row>
    <row r="658" spans="1:6" x14ac:dyDescent="0.3">
      <c r="A658" s="55" t="s">
        <v>30</v>
      </c>
      <c r="B658" s="56">
        <v>5975</v>
      </c>
      <c r="C658" s="56">
        <v>4356</v>
      </c>
      <c r="D658" s="64">
        <f t="shared" si="10"/>
        <v>0.72903765690376565</v>
      </c>
      <c r="E658" s="59" t="s">
        <v>107</v>
      </c>
      <c r="F658" s="57"/>
    </row>
    <row r="659" spans="1:6" x14ac:dyDescent="0.3">
      <c r="A659" s="55" t="s">
        <v>31</v>
      </c>
      <c r="B659" s="56">
        <v>410</v>
      </c>
      <c r="C659" s="56">
        <v>292</v>
      </c>
      <c r="D659" s="64">
        <f t="shared" si="10"/>
        <v>0.71219512195121948</v>
      </c>
      <c r="E659" s="59" t="s">
        <v>107</v>
      </c>
      <c r="F659" s="57"/>
    </row>
    <row r="660" spans="1:6" x14ac:dyDescent="0.3">
      <c r="A660" s="55" t="s">
        <v>32</v>
      </c>
      <c r="B660" s="56">
        <v>25</v>
      </c>
      <c r="C660" s="56">
        <v>17</v>
      </c>
      <c r="D660" s="64">
        <f t="shared" si="10"/>
        <v>0.68</v>
      </c>
      <c r="E660" s="59" t="s">
        <v>107</v>
      </c>
      <c r="F660" s="57"/>
    </row>
    <row r="661" spans="1:6" x14ac:dyDescent="0.3">
      <c r="A661" s="55" t="s">
        <v>33</v>
      </c>
      <c r="B661" s="56">
        <v>746</v>
      </c>
      <c r="C661" s="56">
        <v>672</v>
      </c>
      <c r="D661" s="64">
        <f t="shared" si="10"/>
        <v>0.90080428954423597</v>
      </c>
      <c r="E661" s="59" t="s">
        <v>107</v>
      </c>
      <c r="F661" s="57"/>
    </row>
    <row r="662" spans="1:6" x14ac:dyDescent="0.3">
      <c r="A662" s="55" t="s">
        <v>57</v>
      </c>
      <c r="B662" s="56">
        <v>76</v>
      </c>
      <c r="C662" s="56">
        <v>52</v>
      </c>
      <c r="D662" s="64">
        <f t="shared" si="10"/>
        <v>0.68421052631578949</v>
      </c>
      <c r="E662" s="59" t="s">
        <v>107</v>
      </c>
      <c r="F662" s="57"/>
    </row>
    <row r="663" spans="1:6" x14ac:dyDescent="0.3">
      <c r="A663" s="55" t="s">
        <v>58</v>
      </c>
      <c r="B663" s="56">
        <v>104</v>
      </c>
      <c r="C663" s="56">
        <v>74</v>
      </c>
      <c r="D663" s="64">
        <f t="shared" si="10"/>
        <v>0.71153846153846156</v>
      </c>
      <c r="E663" s="59" t="s">
        <v>107</v>
      </c>
      <c r="F663" s="57"/>
    </row>
    <row r="664" spans="1:6" x14ac:dyDescent="0.3">
      <c r="A664" s="55" t="s">
        <v>35</v>
      </c>
      <c r="B664" s="56">
        <v>1299</v>
      </c>
      <c r="C664" s="56">
        <v>947</v>
      </c>
      <c r="D664" s="64">
        <f t="shared" si="10"/>
        <v>0.72902232486528096</v>
      </c>
      <c r="E664" s="59" t="s">
        <v>107</v>
      </c>
      <c r="F664" s="57"/>
    </row>
    <row r="665" spans="1:6" x14ac:dyDescent="0.3">
      <c r="A665" s="55" t="s">
        <v>36</v>
      </c>
      <c r="B665" s="56">
        <v>905</v>
      </c>
      <c r="C665" s="56">
        <v>577</v>
      </c>
      <c r="D665" s="64">
        <f t="shared" si="10"/>
        <v>0.63756906077348063</v>
      </c>
      <c r="E665" s="59" t="s">
        <v>107</v>
      </c>
      <c r="F665" s="57"/>
    </row>
    <row r="666" spans="1:6" x14ac:dyDescent="0.3">
      <c r="A666" s="55" t="s">
        <v>64</v>
      </c>
      <c r="B666" s="56">
        <v>1181</v>
      </c>
      <c r="C666" s="56">
        <v>882</v>
      </c>
      <c r="D666" s="64">
        <f t="shared" si="10"/>
        <v>0.74682472480948348</v>
      </c>
      <c r="E666" s="59" t="s">
        <v>107</v>
      </c>
      <c r="F666" s="57"/>
    </row>
    <row r="667" spans="1:6" x14ac:dyDescent="0.3">
      <c r="A667" s="55" t="s">
        <v>59</v>
      </c>
      <c r="B667" s="56">
        <v>278</v>
      </c>
      <c r="C667" s="56">
        <v>190</v>
      </c>
      <c r="D667" s="64">
        <f t="shared" si="10"/>
        <v>0.68345323741007191</v>
      </c>
      <c r="E667" s="59" t="s">
        <v>107</v>
      </c>
      <c r="F667" s="57"/>
    </row>
    <row r="668" spans="1:6" x14ac:dyDescent="0.3">
      <c r="A668" s="55" t="s">
        <v>60</v>
      </c>
      <c r="B668" s="56">
        <v>468</v>
      </c>
      <c r="C668" s="56">
        <v>286</v>
      </c>
      <c r="D668" s="64">
        <f>SUM(C668/B668)</f>
        <v>0.61111111111111116</v>
      </c>
      <c r="E668" s="59" t="s">
        <v>107</v>
      </c>
      <c r="F668" s="57"/>
    </row>
    <row r="669" spans="1:6" x14ac:dyDescent="0.3">
      <c r="A669" s="55" t="s">
        <v>37</v>
      </c>
      <c r="B669" s="56">
        <v>298</v>
      </c>
      <c r="C669" s="56">
        <v>232</v>
      </c>
      <c r="D669" s="64">
        <f>SUM(C669/B669)</f>
        <v>0.77852348993288589</v>
      </c>
      <c r="E669" s="59" t="s">
        <v>107</v>
      </c>
      <c r="F669" s="57"/>
    </row>
    <row r="670" spans="1:6" x14ac:dyDescent="0.3">
      <c r="A670" s="55" t="s">
        <v>61</v>
      </c>
      <c r="B670" s="56">
        <v>37</v>
      </c>
      <c r="C670" s="56">
        <v>31</v>
      </c>
      <c r="D670" s="64">
        <f>SUM(C670/B670)</f>
        <v>0.83783783783783783</v>
      </c>
      <c r="E670" s="59" t="s">
        <v>107</v>
      </c>
      <c r="F670" s="57"/>
    </row>
    <row r="671" spans="1:6" x14ac:dyDescent="0.3">
      <c r="A671" s="55" t="s">
        <v>62</v>
      </c>
      <c r="B671" s="56">
        <v>148</v>
      </c>
      <c r="C671" s="56">
        <v>104</v>
      </c>
      <c r="D671" s="64">
        <f>SUM(C671/B671)</f>
        <v>0.70270270270270274</v>
      </c>
      <c r="E671" s="59" t="s">
        <v>107</v>
      </c>
      <c r="F671" s="57"/>
    </row>
    <row r="672" spans="1:6" x14ac:dyDescent="0.3">
      <c r="A672" s="55" t="s">
        <v>30</v>
      </c>
      <c r="B672" s="56">
        <v>5304</v>
      </c>
      <c r="C672" s="56">
        <v>3779</v>
      </c>
      <c r="D672" s="64">
        <f t="shared" ref="D672:D735" si="11">SUM(C672/B672)</f>
        <v>0.71248114630467574</v>
      </c>
      <c r="E672" s="59" t="s">
        <v>109</v>
      </c>
      <c r="F672" s="57"/>
    </row>
    <row r="673" spans="1:6" x14ac:dyDescent="0.3">
      <c r="A673" s="55" t="s">
        <v>31</v>
      </c>
      <c r="B673" s="56">
        <v>482</v>
      </c>
      <c r="C673" s="56">
        <v>333</v>
      </c>
      <c r="D673" s="64">
        <f t="shared" si="11"/>
        <v>0.6908713692946058</v>
      </c>
      <c r="E673" s="59" t="s">
        <v>109</v>
      </c>
      <c r="F673" s="57"/>
    </row>
    <row r="674" spans="1:6" x14ac:dyDescent="0.3">
      <c r="A674" s="55" t="s">
        <v>32</v>
      </c>
      <c r="B674" s="56">
        <v>13</v>
      </c>
      <c r="C674" s="56">
        <v>6</v>
      </c>
      <c r="D674" s="64">
        <f t="shared" si="11"/>
        <v>0.46153846153846156</v>
      </c>
      <c r="E674" s="59" t="s">
        <v>109</v>
      </c>
      <c r="F674" s="57"/>
    </row>
    <row r="675" spans="1:6" x14ac:dyDescent="0.3">
      <c r="A675" s="55" t="s">
        <v>108</v>
      </c>
      <c r="B675" s="56">
        <v>12</v>
      </c>
      <c r="C675" s="56">
        <v>11</v>
      </c>
      <c r="D675" s="64">
        <f t="shared" si="11"/>
        <v>0.91666666666666663</v>
      </c>
      <c r="E675" s="59" t="s">
        <v>109</v>
      </c>
      <c r="F675"/>
    </row>
    <row r="676" spans="1:6" x14ac:dyDescent="0.3">
      <c r="A676" s="55" t="s">
        <v>33</v>
      </c>
      <c r="B676" s="56">
        <v>669</v>
      </c>
      <c r="C676" s="56">
        <v>613</v>
      </c>
      <c r="D676" s="64">
        <f t="shared" si="11"/>
        <v>0.91629297458893877</v>
      </c>
      <c r="E676" s="59" t="s">
        <v>109</v>
      </c>
      <c r="F676" s="57"/>
    </row>
    <row r="677" spans="1:6" x14ac:dyDescent="0.3">
      <c r="A677" s="55" t="s">
        <v>57</v>
      </c>
      <c r="B677" s="56">
        <v>41</v>
      </c>
      <c r="C677" s="56">
        <v>28</v>
      </c>
      <c r="D677" s="64">
        <f t="shared" si="11"/>
        <v>0.68292682926829273</v>
      </c>
      <c r="E677" s="59" t="s">
        <v>109</v>
      </c>
      <c r="F677" s="57"/>
    </row>
    <row r="678" spans="1:6" x14ac:dyDescent="0.3">
      <c r="A678" s="55" t="s">
        <v>58</v>
      </c>
      <c r="B678" s="56">
        <v>72</v>
      </c>
      <c r="C678" s="56">
        <v>59</v>
      </c>
      <c r="D678" s="64">
        <f t="shared" si="11"/>
        <v>0.81944444444444442</v>
      </c>
      <c r="E678" s="59" t="s">
        <v>109</v>
      </c>
      <c r="F678" s="57"/>
    </row>
    <row r="679" spans="1:6" x14ac:dyDescent="0.3">
      <c r="A679" s="55" t="s">
        <v>35</v>
      </c>
      <c r="B679" s="56">
        <v>1158</v>
      </c>
      <c r="C679" s="56">
        <v>847</v>
      </c>
      <c r="D679" s="64">
        <f t="shared" si="11"/>
        <v>0.73143350604490498</v>
      </c>
      <c r="E679" s="59" t="s">
        <v>109</v>
      </c>
      <c r="F679" s="57"/>
    </row>
    <row r="680" spans="1:6" x14ac:dyDescent="0.3">
      <c r="A680" s="55" t="s">
        <v>36</v>
      </c>
      <c r="B680" s="56">
        <v>918</v>
      </c>
      <c r="C680" s="56">
        <v>537</v>
      </c>
      <c r="D680" s="64">
        <f t="shared" si="11"/>
        <v>0.58496732026143794</v>
      </c>
      <c r="E680" s="59" t="s">
        <v>109</v>
      </c>
      <c r="F680" s="57"/>
    </row>
    <row r="681" spans="1:6" x14ac:dyDescent="0.3">
      <c r="A681" s="55" t="s">
        <v>64</v>
      </c>
      <c r="B681" s="56">
        <v>847</v>
      </c>
      <c r="C681" s="56">
        <v>630</v>
      </c>
      <c r="D681" s="64">
        <f t="shared" si="11"/>
        <v>0.74380165289256195</v>
      </c>
      <c r="E681" s="59" t="s">
        <v>109</v>
      </c>
      <c r="F681" s="57"/>
    </row>
    <row r="682" spans="1:6" x14ac:dyDescent="0.3">
      <c r="A682" s="55" t="s">
        <v>69</v>
      </c>
      <c r="B682" s="56">
        <v>10</v>
      </c>
      <c r="C682" s="56">
        <v>10</v>
      </c>
      <c r="D682" s="64">
        <f t="shared" si="11"/>
        <v>1</v>
      </c>
      <c r="E682" s="59" t="s">
        <v>109</v>
      </c>
      <c r="F682"/>
    </row>
    <row r="683" spans="1:6" x14ac:dyDescent="0.3">
      <c r="A683" s="55" t="s">
        <v>59</v>
      </c>
      <c r="B683" s="56">
        <v>285</v>
      </c>
      <c r="C683" s="56">
        <v>189</v>
      </c>
      <c r="D683" s="64">
        <f t="shared" si="11"/>
        <v>0.66315789473684206</v>
      </c>
      <c r="E683" s="59" t="s">
        <v>109</v>
      </c>
      <c r="F683" s="57"/>
    </row>
    <row r="684" spans="1:6" x14ac:dyDescent="0.3">
      <c r="A684" s="55" t="s">
        <v>60</v>
      </c>
      <c r="B684" s="56">
        <v>394</v>
      </c>
      <c r="C684" s="56">
        <v>240</v>
      </c>
      <c r="D684" s="64">
        <f t="shared" si="11"/>
        <v>0.6091370558375635</v>
      </c>
      <c r="E684" s="59" t="s">
        <v>109</v>
      </c>
      <c r="F684" s="57"/>
    </row>
    <row r="685" spans="1:6" x14ac:dyDescent="0.3">
      <c r="A685" s="55" t="s">
        <v>37</v>
      </c>
      <c r="B685" s="56">
        <v>224</v>
      </c>
      <c r="C685" s="56">
        <v>167</v>
      </c>
      <c r="D685" s="64">
        <f t="shared" si="11"/>
        <v>0.7455357142857143</v>
      </c>
      <c r="E685" s="59" t="s">
        <v>109</v>
      </c>
      <c r="F685" s="57"/>
    </row>
    <row r="686" spans="1:6" x14ac:dyDescent="0.3">
      <c r="A686" s="55" t="s">
        <v>61</v>
      </c>
      <c r="B686" s="56">
        <v>4</v>
      </c>
      <c r="C686" s="56">
        <v>3</v>
      </c>
      <c r="D686" s="64">
        <f t="shared" si="11"/>
        <v>0.75</v>
      </c>
      <c r="E686" s="59" t="s">
        <v>109</v>
      </c>
      <c r="F686" s="57"/>
    </row>
    <row r="687" spans="1:6" x14ac:dyDescent="0.3">
      <c r="A687" s="55" t="s">
        <v>62</v>
      </c>
      <c r="B687" s="56">
        <v>175</v>
      </c>
      <c r="C687" s="56">
        <v>106</v>
      </c>
      <c r="D687" s="64">
        <f t="shared" si="11"/>
        <v>0.60571428571428576</v>
      </c>
      <c r="E687" s="59" t="s">
        <v>109</v>
      </c>
      <c r="F687" s="57"/>
    </row>
    <row r="688" spans="1:6" x14ac:dyDescent="0.3">
      <c r="A688" s="55" t="s">
        <v>30</v>
      </c>
      <c r="B688" s="56">
        <v>3457</v>
      </c>
      <c r="C688" s="56">
        <v>2606</v>
      </c>
      <c r="D688" s="64">
        <f t="shared" si="11"/>
        <v>0.75383280300838873</v>
      </c>
      <c r="E688" s="59" t="s">
        <v>112</v>
      </c>
      <c r="F688" s="57"/>
    </row>
    <row r="689" spans="1:6" x14ac:dyDescent="0.3">
      <c r="A689" s="55" t="s">
        <v>31</v>
      </c>
      <c r="B689" s="56">
        <v>272</v>
      </c>
      <c r="C689" s="56">
        <v>181</v>
      </c>
      <c r="D689" s="64">
        <f t="shared" si="11"/>
        <v>0.6654411764705882</v>
      </c>
      <c r="E689" s="59" t="s">
        <v>112</v>
      </c>
      <c r="F689" s="57"/>
    </row>
    <row r="690" spans="1:6" x14ac:dyDescent="0.3">
      <c r="A690" s="55" t="s">
        <v>32</v>
      </c>
      <c r="B690" s="56">
        <v>21</v>
      </c>
      <c r="C690" s="56">
        <v>15</v>
      </c>
      <c r="D690" s="64">
        <f t="shared" si="11"/>
        <v>0.7142857142857143</v>
      </c>
      <c r="E690" s="59" t="s">
        <v>112</v>
      </c>
      <c r="F690" s="57"/>
    </row>
    <row r="691" spans="1:6" x14ac:dyDescent="0.3">
      <c r="A691" s="55" t="s">
        <v>110</v>
      </c>
      <c r="B691" s="56">
        <v>83</v>
      </c>
      <c r="C691" s="56">
        <v>67</v>
      </c>
      <c r="D691" s="64">
        <f t="shared" si="11"/>
        <v>0.80722891566265065</v>
      </c>
      <c r="E691" s="59" t="s">
        <v>112</v>
      </c>
      <c r="F691" s="57"/>
    </row>
    <row r="692" spans="1:6" x14ac:dyDescent="0.3">
      <c r="A692" s="55" t="s">
        <v>111</v>
      </c>
      <c r="B692" s="56">
        <v>16</v>
      </c>
      <c r="C692" s="56">
        <v>12</v>
      </c>
      <c r="D692" s="64">
        <f t="shared" si="11"/>
        <v>0.75</v>
      </c>
      <c r="E692" s="59" t="s">
        <v>112</v>
      </c>
      <c r="F692" s="57"/>
    </row>
    <row r="693" spans="1:6" x14ac:dyDescent="0.3">
      <c r="A693" s="55" t="s">
        <v>108</v>
      </c>
      <c r="B693" s="56">
        <v>45</v>
      </c>
      <c r="C693" s="56">
        <v>34</v>
      </c>
      <c r="D693" s="64">
        <f t="shared" si="11"/>
        <v>0.75555555555555554</v>
      </c>
      <c r="E693" s="59" t="s">
        <v>112</v>
      </c>
      <c r="F693" s="57"/>
    </row>
    <row r="694" spans="1:6" x14ac:dyDescent="0.3">
      <c r="A694" s="55" t="s">
        <v>33</v>
      </c>
      <c r="B694" s="56">
        <v>641</v>
      </c>
      <c r="C694" s="56">
        <v>601</v>
      </c>
      <c r="D694" s="64">
        <f t="shared" si="11"/>
        <v>0.93759750390015606</v>
      </c>
      <c r="E694" s="59" t="s">
        <v>112</v>
      </c>
      <c r="F694" s="57"/>
    </row>
    <row r="695" spans="1:6" x14ac:dyDescent="0.3">
      <c r="A695" s="55" t="s">
        <v>57</v>
      </c>
      <c r="B695" s="56">
        <v>31</v>
      </c>
      <c r="C695" s="56">
        <v>18</v>
      </c>
      <c r="D695" s="64">
        <f t="shared" si="11"/>
        <v>0.58064516129032262</v>
      </c>
      <c r="E695" s="59" t="s">
        <v>112</v>
      </c>
      <c r="F695" s="57"/>
    </row>
    <row r="696" spans="1:6" x14ac:dyDescent="0.3">
      <c r="A696" s="55" t="s">
        <v>58</v>
      </c>
      <c r="B696" s="56">
        <v>72</v>
      </c>
      <c r="C696" s="56">
        <v>61</v>
      </c>
      <c r="D696" s="64">
        <f t="shared" si="11"/>
        <v>0.84722222222222221</v>
      </c>
      <c r="E696" s="59" t="s">
        <v>112</v>
      </c>
      <c r="F696" s="57"/>
    </row>
    <row r="697" spans="1:6" x14ac:dyDescent="0.3">
      <c r="A697" s="55" t="s">
        <v>35</v>
      </c>
      <c r="B697" s="56">
        <v>897</v>
      </c>
      <c r="C697" s="56">
        <v>696</v>
      </c>
      <c r="D697" s="64">
        <f t="shared" si="11"/>
        <v>0.77591973244147161</v>
      </c>
      <c r="E697" s="59" t="s">
        <v>112</v>
      </c>
      <c r="F697" s="57"/>
    </row>
    <row r="698" spans="1:6" x14ac:dyDescent="0.3">
      <c r="A698" s="55" t="s">
        <v>36</v>
      </c>
      <c r="B698" s="56">
        <v>698</v>
      </c>
      <c r="C698" s="56">
        <v>420</v>
      </c>
      <c r="D698" s="64">
        <f t="shared" si="11"/>
        <v>0.60171919770773641</v>
      </c>
      <c r="E698" s="59" t="s">
        <v>112</v>
      </c>
      <c r="F698" s="57"/>
    </row>
    <row r="699" spans="1:6" x14ac:dyDescent="0.3">
      <c r="A699" s="55" t="s">
        <v>64</v>
      </c>
      <c r="B699" s="56">
        <v>13</v>
      </c>
      <c r="C699" s="56">
        <v>10</v>
      </c>
      <c r="D699" s="64">
        <f t="shared" si="11"/>
        <v>0.76923076923076927</v>
      </c>
      <c r="E699" s="59" t="s">
        <v>112</v>
      </c>
      <c r="F699" s="57"/>
    </row>
    <row r="700" spans="1:6" x14ac:dyDescent="0.3">
      <c r="A700" s="55" t="s">
        <v>59</v>
      </c>
      <c r="B700" s="56">
        <v>37</v>
      </c>
      <c r="C700" s="56">
        <v>31</v>
      </c>
      <c r="D700" s="64">
        <f t="shared" si="11"/>
        <v>0.83783783783783783</v>
      </c>
      <c r="E700" s="59" t="s">
        <v>112</v>
      </c>
      <c r="F700" s="57"/>
    </row>
    <row r="701" spans="1:6" x14ac:dyDescent="0.3">
      <c r="A701" s="55" t="s">
        <v>60</v>
      </c>
      <c r="B701" s="56">
        <v>304</v>
      </c>
      <c r="C701" s="56">
        <v>190</v>
      </c>
      <c r="D701" s="64">
        <f t="shared" si="11"/>
        <v>0.625</v>
      </c>
      <c r="E701" s="59" t="s">
        <v>112</v>
      </c>
      <c r="F701" s="57"/>
    </row>
    <row r="702" spans="1:6" x14ac:dyDescent="0.3">
      <c r="A702" s="55" t="s">
        <v>37</v>
      </c>
      <c r="B702" s="56">
        <v>319</v>
      </c>
      <c r="C702" s="56">
        <v>262</v>
      </c>
      <c r="D702" s="64">
        <f t="shared" si="11"/>
        <v>0.82131661442006265</v>
      </c>
      <c r="E702" s="59" t="s">
        <v>112</v>
      </c>
      <c r="F702" s="57"/>
    </row>
    <row r="703" spans="1:6" x14ac:dyDescent="0.3">
      <c r="A703" s="55" t="s">
        <v>61</v>
      </c>
      <c r="B703" s="56">
        <v>8</v>
      </c>
      <c r="C703" s="56">
        <v>8</v>
      </c>
      <c r="D703" s="64">
        <f t="shared" si="11"/>
        <v>1</v>
      </c>
      <c r="E703" s="59" t="s">
        <v>112</v>
      </c>
      <c r="F703" s="57"/>
    </row>
    <row r="704" spans="1:6" x14ac:dyDescent="0.3">
      <c r="A704" s="55" t="s">
        <v>30</v>
      </c>
      <c r="B704" s="56">
        <v>5952</v>
      </c>
      <c r="C704" s="56">
        <v>4468</v>
      </c>
      <c r="D704" s="64">
        <f t="shared" si="11"/>
        <v>0.75067204301075274</v>
      </c>
      <c r="E704" s="59" t="s">
        <v>113</v>
      </c>
      <c r="F704" s="57"/>
    </row>
    <row r="705" spans="1:6" x14ac:dyDescent="0.3">
      <c r="A705" s="55" t="s">
        <v>31</v>
      </c>
      <c r="B705" s="56">
        <v>553</v>
      </c>
      <c r="C705" s="56">
        <v>388</v>
      </c>
      <c r="D705" s="64">
        <f t="shared" si="11"/>
        <v>0.70162748643761297</v>
      </c>
      <c r="E705" s="59" t="s">
        <v>113</v>
      </c>
      <c r="F705" s="57"/>
    </row>
    <row r="706" spans="1:6" x14ac:dyDescent="0.3">
      <c r="A706" s="55" t="s">
        <v>32</v>
      </c>
      <c r="B706" s="56">
        <v>33</v>
      </c>
      <c r="C706" s="56">
        <v>21</v>
      </c>
      <c r="D706" s="64">
        <f t="shared" si="11"/>
        <v>0.63636363636363635</v>
      </c>
      <c r="E706" s="59" t="s">
        <v>113</v>
      </c>
      <c r="F706" s="57"/>
    </row>
    <row r="707" spans="1:6" x14ac:dyDescent="0.3">
      <c r="A707" s="55" t="s">
        <v>110</v>
      </c>
      <c r="B707" s="56">
        <v>113</v>
      </c>
      <c r="C707" s="56">
        <v>85</v>
      </c>
      <c r="D707" s="64">
        <f t="shared" si="11"/>
        <v>0.75221238938053092</v>
      </c>
      <c r="E707" s="59" t="s">
        <v>113</v>
      </c>
      <c r="F707" s="57"/>
    </row>
    <row r="708" spans="1:6" x14ac:dyDescent="0.3">
      <c r="A708" s="55" t="s">
        <v>111</v>
      </c>
      <c r="B708" s="56">
        <v>17</v>
      </c>
      <c r="C708" s="56">
        <v>11</v>
      </c>
      <c r="D708" s="64">
        <f t="shared" si="11"/>
        <v>0.6470588235294118</v>
      </c>
      <c r="E708" s="59" t="s">
        <v>113</v>
      </c>
      <c r="F708" s="57"/>
    </row>
    <row r="709" spans="1:6" x14ac:dyDescent="0.3">
      <c r="A709" s="55" t="s">
        <v>33</v>
      </c>
      <c r="B709" s="56">
        <v>908</v>
      </c>
      <c r="C709" s="56">
        <v>840</v>
      </c>
      <c r="D709" s="64">
        <f t="shared" si="11"/>
        <v>0.92511013215859028</v>
      </c>
      <c r="E709" s="59" t="s">
        <v>113</v>
      </c>
      <c r="F709" s="57"/>
    </row>
    <row r="710" spans="1:6" x14ac:dyDescent="0.3">
      <c r="A710" s="55" t="s">
        <v>57</v>
      </c>
      <c r="B710" s="56">
        <v>91</v>
      </c>
      <c r="C710" s="56">
        <v>65</v>
      </c>
      <c r="D710" s="64">
        <f t="shared" si="11"/>
        <v>0.7142857142857143</v>
      </c>
      <c r="E710" s="59" t="s">
        <v>113</v>
      </c>
      <c r="F710" s="57"/>
    </row>
    <row r="711" spans="1:6" x14ac:dyDescent="0.3">
      <c r="A711" s="55" t="s">
        <v>58</v>
      </c>
      <c r="B711" s="56">
        <v>98</v>
      </c>
      <c r="C711" s="56">
        <v>73</v>
      </c>
      <c r="D711" s="64">
        <f t="shared" si="11"/>
        <v>0.74489795918367352</v>
      </c>
      <c r="E711" s="59" t="s">
        <v>113</v>
      </c>
      <c r="F711" s="57"/>
    </row>
    <row r="712" spans="1:6" x14ac:dyDescent="0.3">
      <c r="A712" s="55" t="s">
        <v>35</v>
      </c>
      <c r="B712" s="56">
        <v>1539</v>
      </c>
      <c r="C712" s="56">
        <v>1189</v>
      </c>
      <c r="D712" s="64">
        <f t="shared" si="11"/>
        <v>0.77257959714100066</v>
      </c>
      <c r="E712" s="59" t="s">
        <v>113</v>
      </c>
      <c r="F712" s="57"/>
    </row>
    <row r="713" spans="1:6" x14ac:dyDescent="0.3">
      <c r="A713" s="55" t="s">
        <v>36</v>
      </c>
      <c r="B713" s="56">
        <v>924</v>
      </c>
      <c r="C713" s="56">
        <v>565</v>
      </c>
      <c r="D713" s="64">
        <f t="shared" si="11"/>
        <v>0.6114718614718615</v>
      </c>
      <c r="E713" s="59" t="s">
        <v>113</v>
      </c>
      <c r="F713" s="57"/>
    </row>
    <row r="714" spans="1:6" x14ac:dyDescent="0.3">
      <c r="A714" s="55" t="s">
        <v>64</v>
      </c>
      <c r="B714" s="56">
        <v>857</v>
      </c>
      <c r="C714" s="56">
        <v>633</v>
      </c>
      <c r="D714" s="64">
        <f t="shared" si="11"/>
        <v>0.73862310385064178</v>
      </c>
      <c r="E714" s="59" t="s">
        <v>113</v>
      </c>
      <c r="F714" s="57"/>
    </row>
    <row r="715" spans="1:6" x14ac:dyDescent="0.3">
      <c r="A715" s="55" t="s">
        <v>60</v>
      </c>
      <c r="B715" s="56">
        <v>385</v>
      </c>
      <c r="C715" s="56">
        <v>249</v>
      </c>
      <c r="D715" s="64">
        <f t="shared" si="11"/>
        <v>0.64675324675324675</v>
      </c>
      <c r="E715" s="59" t="s">
        <v>113</v>
      </c>
      <c r="F715" s="57"/>
    </row>
    <row r="716" spans="1:6" x14ac:dyDescent="0.3">
      <c r="A716" s="55" t="s">
        <v>37</v>
      </c>
      <c r="B716" s="56">
        <v>397</v>
      </c>
      <c r="C716" s="56">
        <v>317</v>
      </c>
      <c r="D716" s="64">
        <f t="shared" si="11"/>
        <v>0.79848866498740556</v>
      </c>
      <c r="E716" s="59" t="s">
        <v>113</v>
      </c>
      <c r="F716" s="57"/>
    </row>
    <row r="717" spans="1:6" x14ac:dyDescent="0.3">
      <c r="A717" s="55" t="s">
        <v>61</v>
      </c>
      <c r="B717" s="56">
        <v>37</v>
      </c>
      <c r="C717" s="56">
        <v>32</v>
      </c>
      <c r="D717" s="64">
        <f t="shared" si="11"/>
        <v>0.86486486486486491</v>
      </c>
      <c r="E717" s="59" t="s">
        <v>113</v>
      </c>
      <c r="F717" s="57"/>
    </row>
    <row r="718" spans="1:6" x14ac:dyDescent="0.3">
      <c r="A718" s="55" t="s">
        <v>30</v>
      </c>
      <c r="B718" s="56">
        <v>5592</v>
      </c>
      <c r="C718" s="56">
        <v>4185</v>
      </c>
      <c r="D718" s="64">
        <f t="shared" si="11"/>
        <v>0.74839055793991416</v>
      </c>
      <c r="E718" s="59" t="s">
        <v>114</v>
      </c>
      <c r="F718" s="57"/>
    </row>
    <row r="719" spans="1:6" x14ac:dyDescent="0.3">
      <c r="A719" s="55" t="s">
        <v>31</v>
      </c>
      <c r="B719" s="56">
        <v>588</v>
      </c>
      <c r="C719" s="56">
        <v>401</v>
      </c>
      <c r="D719" s="64">
        <f t="shared" si="11"/>
        <v>0.68197278911564629</v>
      </c>
      <c r="E719" s="59" t="s">
        <v>114</v>
      </c>
      <c r="F719" s="57"/>
    </row>
    <row r="720" spans="1:6" x14ac:dyDescent="0.3">
      <c r="A720" s="55" t="s">
        <v>32</v>
      </c>
      <c r="B720" s="56">
        <v>26</v>
      </c>
      <c r="C720" s="56">
        <v>19</v>
      </c>
      <c r="D720" s="64">
        <f t="shared" si="11"/>
        <v>0.73076923076923073</v>
      </c>
      <c r="E720" s="59" t="s">
        <v>114</v>
      </c>
      <c r="F720" s="57"/>
    </row>
    <row r="721" spans="1:6" x14ac:dyDescent="0.3">
      <c r="A721" s="55" t="s">
        <v>110</v>
      </c>
      <c r="B721" s="56">
        <v>58</v>
      </c>
      <c r="C721" s="56">
        <v>39</v>
      </c>
      <c r="D721" s="64">
        <f t="shared" si="11"/>
        <v>0.67241379310344829</v>
      </c>
      <c r="E721" s="59" t="s">
        <v>114</v>
      </c>
      <c r="F721" s="57"/>
    </row>
    <row r="722" spans="1:6" x14ac:dyDescent="0.3">
      <c r="A722" s="55" t="s">
        <v>33</v>
      </c>
      <c r="B722" s="56">
        <v>676</v>
      </c>
      <c r="C722" s="56">
        <v>633</v>
      </c>
      <c r="D722" s="64">
        <f t="shared" si="11"/>
        <v>0.93639053254437865</v>
      </c>
      <c r="E722" s="59" t="s">
        <v>114</v>
      </c>
      <c r="F722" s="57"/>
    </row>
    <row r="723" spans="1:6" x14ac:dyDescent="0.3">
      <c r="A723" s="55" t="s">
        <v>57</v>
      </c>
      <c r="B723" s="56">
        <v>46</v>
      </c>
      <c r="C723" s="56">
        <v>27</v>
      </c>
      <c r="D723" s="64">
        <f t="shared" si="11"/>
        <v>0.58695652173913049</v>
      </c>
      <c r="E723" s="59" t="s">
        <v>114</v>
      </c>
      <c r="F723" s="57"/>
    </row>
    <row r="724" spans="1:6" x14ac:dyDescent="0.3">
      <c r="A724" s="55" t="s">
        <v>58</v>
      </c>
      <c r="B724" s="56">
        <v>76</v>
      </c>
      <c r="C724" s="56">
        <v>57</v>
      </c>
      <c r="D724" s="64">
        <f t="shared" si="11"/>
        <v>0.75</v>
      </c>
      <c r="E724" s="59" t="s">
        <v>114</v>
      </c>
      <c r="F724" s="57"/>
    </row>
    <row r="725" spans="1:6" x14ac:dyDescent="0.3">
      <c r="A725" s="55" t="s">
        <v>35</v>
      </c>
      <c r="B725" s="56">
        <v>1231</v>
      </c>
      <c r="C725" s="56">
        <v>934</v>
      </c>
      <c r="D725" s="64">
        <f t="shared" si="11"/>
        <v>0.75873273761169779</v>
      </c>
      <c r="E725" s="59" t="s">
        <v>114</v>
      </c>
      <c r="F725" s="57"/>
    </row>
    <row r="726" spans="1:6" x14ac:dyDescent="0.3">
      <c r="A726" s="55" t="s">
        <v>36</v>
      </c>
      <c r="B726" s="56">
        <v>836</v>
      </c>
      <c r="C726" s="56">
        <v>512</v>
      </c>
      <c r="D726" s="64">
        <f t="shared" si="11"/>
        <v>0.61244019138755978</v>
      </c>
      <c r="E726" s="59" t="s">
        <v>114</v>
      </c>
      <c r="F726" s="57"/>
    </row>
    <row r="727" spans="1:6" x14ac:dyDescent="0.3">
      <c r="A727" s="55" t="s">
        <v>64</v>
      </c>
      <c r="B727" s="56">
        <v>1059</v>
      </c>
      <c r="C727" s="56">
        <v>800</v>
      </c>
      <c r="D727" s="64">
        <f t="shared" si="11"/>
        <v>0.75542965061378664</v>
      </c>
      <c r="E727" s="59" t="s">
        <v>114</v>
      </c>
      <c r="F727" s="57"/>
    </row>
    <row r="728" spans="1:6" x14ac:dyDescent="0.3">
      <c r="A728" s="55" t="s">
        <v>60</v>
      </c>
      <c r="B728" s="56">
        <v>295</v>
      </c>
      <c r="C728" s="56">
        <v>190</v>
      </c>
      <c r="D728" s="64">
        <f t="shared" si="11"/>
        <v>0.64406779661016944</v>
      </c>
      <c r="E728" s="59" t="s">
        <v>114</v>
      </c>
      <c r="F728" s="57"/>
    </row>
    <row r="729" spans="1:6" x14ac:dyDescent="0.3">
      <c r="A729" s="55" t="s">
        <v>37</v>
      </c>
      <c r="B729" s="56">
        <v>622</v>
      </c>
      <c r="C729" s="56">
        <v>502</v>
      </c>
      <c r="D729" s="64">
        <f t="shared" si="11"/>
        <v>0.80707395498392287</v>
      </c>
      <c r="E729" s="59" t="s">
        <v>114</v>
      </c>
      <c r="F729" s="57"/>
    </row>
    <row r="730" spans="1:6" x14ac:dyDescent="0.3">
      <c r="A730" s="55" t="s">
        <v>61</v>
      </c>
      <c r="B730" s="56">
        <v>79</v>
      </c>
      <c r="C730" s="56">
        <v>71</v>
      </c>
      <c r="D730" s="64">
        <f t="shared" si="11"/>
        <v>0.89873417721518989</v>
      </c>
      <c r="E730" s="59" t="s">
        <v>114</v>
      </c>
      <c r="F730" s="57"/>
    </row>
    <row r="731" spans="1:6" x14ac:dyDescent="0.3">
      <c r="A731" s="55" t="s">
        <v>30</v>
      </c>
      <c r="B731" s="56">
        <v>5365</v>
      </c>
      <c r="C731" s="56">
        <v>3500</v>
      </c>
      <c r="D731" s="64">
        <f t="shared" si="11"/>
        <v>0.65237651444547995</v>
      </c>
      <c r="E731" s="59" t="s">
        <v>115</v>
      </c>
      <c r="F731" s="57"/>
    </row>
    <row r="732" spans="1:6" x14ac:dyDescent="0.3">
      <c r="A732" s="55" t="s">
        <v>31</v>
      </c>
      <c r="B732" s="56">
        <v>407</v>
      </c>
      <c r="C732" s="56">
        <v>247</v>
      </c>
      <c r="D732" s="64">
        <f t="shared" si="11"/>
        <v>0.60687960687960685</v>
      </c>
      <c r="E732" s="59" t="s">
        <v>115</v>
      </c>
      <c r="F732" s="57"/>
    </row>
    <row r="733" spans="1:6" x14ac:dyDescent="0.3">
      <c r="A733" s="55" t="s">
        <v>32</v>
      </c>
      <c r="B733" s="56">
        <v>18</v>
      </c>
      <c r="C733" s="56">
        <v>13</v>
      </c>
      <c r="D733" s="64">
        <f t="shared" si="11"/>
        <v>0.72222222222222221</v>
      </c>
      <c r="E733" s="59" t="s">
        <v>115</v>
      </c>
      <c r="F733" s="57"/>
    </row>
    <row r="734" spans="1:6" x14ac:dyDescent="0.3">
      <c r="A734" s="55" t="s">
        <v>110</v>
      </c>
      <c r="B734" s="56">
        <v>155</v>
      </c>
      <c r="C734" s="56">
        <v>99</v>
      </c>
      <c r="D734" s="64">
        <f t="shared" si="11"/>
        <v>0.6387096774193548</v>
      </c>
      <c r="E734" s="59" t="s">
        <v>115</v>
      </c>
      <c r="F734" s="57"/>
    </row>
    <row r="735" spans="1:6" x14ac:dyDescent="0.3">
      <c r="A735" s="55" t="s">
        <v>33</v>
      </c>
      <c r="B735" s="56">
        <v>827</v>
      </c>
      <c r="C735" s="56">
        <v>592</v>
      </c>
      <c r="D735" s="64">
        <f t="shared" si="11"/>
        <v>0.7158403869407497</v>
      </c>
      <c r="E735" s="59" t="s">
        <v>115</v>
      </c>
      <c r="F735" s="57"/>
    </row>
    <row r="736" spans="1:6" x14ac:dyDescent="0.3">
      <c r="A736" s="55" t="s">
        <v>57</v>
      </c>
      <c r="B736" s="56">
        <v>22</v>
      </c>
      <c r="C736" s="56">
        <v>13</v>
      </c>
      <c r="D736" s="64">
        <f t="shared" ref="D736:D743" si="12">SUM(C736/B736)</f>
        <v>0.59090909090909094</v>
      </c>
      <c r="E736" s="59" t="s">
        <v>115</v>
      </c>
      <c r="F736" s="57"/>
    </row>
    <row r="737" spans="1:6" x14ac:dyDescent="0.3">
      <c r="A737" s="55" t="s">
        <v>58</v>
      </c>
      <c r="B737" s="56">
        <v>108</v>
      </c>
      <c r="C737" s="56">
        <v>64</v>
      </c>
      <c r="D737" s="64">
        <f t="shared" si="12"/>
        <v>0.59259259259259256</v>
      </c>
      <c r="E737" s="59" t="s">
        <v>115</v>
      </c>
      <c r="F737" s="57"/>
    </row>
    <row r="738" spans="1:6" x14ac:dyDescent="0.3">
      <c r="A738" s="55" t="s">
        <v>35</v>
      </c>
      <c r="B738" s="56">
        <v>1108</v>
      </c>
      <c r="C738" s="56">
        <v>796</v>
      </c>
      <c r="D738" s="64">
        <f t="shared" si="12"/>
        <v>0.71841155234657039</v>
      </c>
      <c r="E738" s="59" t="s">
        <v>115</v>
      </c>
      <c r="F738" s="57"/>
    </row>
    <row r="739" spans="1:6" x14ac:dyDescent="0.3">
      <c r="A739" s="55" t="s">
        <v>36</v>
      </c>
      <c r="B739" s="56">
        <v>831</v>
      </c>
      <c r="C739" s="56">
        <v>450</v>
      </c>
      <c r="D739" s="64">
        <f t="shared" si="12"/>
        <v>0.54151624548736466</v>
      </c>
      <c r="E739" s="59" t="s">
        <v>115</v>
      </c>
      <c r="F739" s="57"/>
    </row>
    <row r="740" spans="1:6" x14ac:dyDescent="0.3">
      <c r="A740" s="55" t="s">
        <v>64</v>
      </c>
      <c r="B740" s="56">
        <v>920</v>
      </c>
      <c r="C740" s="56">
        <v>588</v>
      </c>
      <c r="D740" s="64">
        <f t="shared" si="12"/>
        <v>0.63913043478260867</v>
      </c>
      <c r="E740" s="59" t="s">
        <v>115</v>
      </c>
      <c r="F740" s="57"/>
    </row>
    <row r="741" spans="1:6" x14ac:dyDescent="0.3">
      <c r="A741" s="55" t="s">
        <v>60</v>
      </c>
      <c r="B741" s="56">
        <v>326</v>
      </c>
      <c r="C741" s="56">
        <v>190</v>
      </c>
      <c r="D741" s="64">
        <f t="shared" si="12"/>
        <v>0.58282208588957052</v>
      </c>
      <c r="E741" s="59" t="s">
        <v>115</v>
      </c>
      <c r="F741" s="57"/>
    </row>
    <row r="742" spans="1:6" x14ac:dyDescent="0.3">
      <c r="A742" s="55" t="s">
        <v>37</v>
      </c>
      <c r="B742" s="56">
        <v>583</v>
      </c>
      <c r="C742" s="56">
        <v>404</v>
      </c>
      <c r="D742" s="64">
        <f t="shared" si="12"/>
        <v>0.692967409948542</v>
      </c>
      <c r="E742" s="59" t="s">
        <v>115</v>
      </c>
      <c r="F742" s="57"/>
    </row>
    <row r="743" spans="1:6" x14ac:dyDescent="0.3">
      <c r="A743" s="55" t="s">
        <v>61</v>
      </c>
      <c r="B743" s="56">
        <v>60</v>
      </c>
      <c r="C743" s="56">
        <v>44</v>
      </c>
      <c r="D743" s="64">
        <f t="shared" si="12"/>
        <v>0.73333333333333328</v>
      </c>
      <c r="E743" s="59" t="s">
        <v>115</v>
      </c>
      <c r="F743" s="57"/>
    </row>
  </sheetData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737"/>
  <sheetViews>
    <sheetView tabSelected="1" topLeftCell="A726" workbookViewId="0">
      <selection activeCell="E726" sqref="E726:E737"/>
    </sheetView>
  </sheetViews>
  <sheetFormatPr defaultColWidth="9.109375" defaultRowHeight="14.4" x14ac:dyDescent="0.3"/>
  <cols>
    <col min="1" max="1" width="42.88671875" style="13" bestFit="1" customWidth="1"/>
    <col min="2" max="2" width="19.88671875" style="13" bestFit="1" customWidth="1"/>
    <col min="3" max="3" width="17.44140625" style="13" bestFit="1" customWidth="1"/>
    <col min="4" max="4" width="16" style="38" bestFit="1" customWidth="1"/>
    <col min="5" max="5" width="7.6640625" style="13" bestFit="1" customWidth="1"/>
    <col min="6" max="6" width="28.33203125" style="13" bestFit="1" customWidth="1"/>
    <col min="7" max="7" width="18.5546875" style="13" bestFit="1" customWidth="1"/>
    <col min="8" max="16384" width="9.109375" style="13"/>
  </cols>
  <sheetData>
    <row r="1" spans="1:5" s="37" customFormat="1" x14ac:dyDescent="0.3">
      <c r="A1" s="39" t="s">
        <v>41</v>
      </c>
      <c r="B1" s="39" t="s">
        <v>39</v>
      </c>
      <c r="C1" s="39" t="s">
        <v>40</v>
      </c>
      <c r="D1" s="40" t="s">
        <v>29</v>
      </c>
      <c r="E1" s="39" t="s">
        <v>11</v>
      </c>
    </row>
    <row r="2" spans="1:5" x14ac:dyDescent="0.3">
      <c r="A2" s="13" t="s">
        <v>30</v>
      </c>
      <c r="B2" s="13">
        <v>5197</v>
      </c>
      <c r="C2" s="13">
        <v>4495</v>
      </c>
      <c r="D2" s="38">
        <f>AVERAGE(D3:D10)</f>
        <v>0.84421673859322033</v>
      </c>
      <c r="E2" s="13" t="s">
        <v>17</v>
      </c>
    </row>
    <row r="3" spans="1:5" x14ac:dyDescent="0.3">
      <c r="A3" s="13" t="s">
        <v>31</v>
      </c>
      <c r="B3" s="13">
        <v>539</v>
      </c>
      <c r="C3" s="13">
        <v>460</v>
      </c>
      <c r="D3" s="38">
        <f>SUM(C3/B3)</f>
        <v>0.85343228200371057</v>
      </c>
      <c r="E3" s="13" t="s">
        <v>17</v>
      </c>
    </row>
    <row r="4" spans="1:5" x14ac:dyDescent="0.3">
      <c r="A4" s="13" t="s">
        <v>32</v>
      </c>
      <c r="B4" s="13">
        <v>27</v>
      </c>
      <c r="C4" s="13">
        <v>17</v>
      </c>
      <c r="D4" s="38">
        <f>SUM(C4/B4)</f>
        <v>0.62962962962962965</v>
      </c>
      <c r="E4" s="13" t="s">
        <v>17</v>
      </c>
    </row>
    <row r="5" spans="1:5" x14ac:dyDescent="0.3">
      <c r="A5" s="13" t="s">
        <v>33</v>
      </c>
      <c r="B5" s="13">
        <v>729</v>
      </c>
      <c r="C5" s="13">
        <v>664</v>
      </c>
      <c r="D5" s="38">
        <f t="shared" ref="D5:D68" si="0">SUM(C5/B5)</f>
        <v>0.91083676268861458</v>
      </c>
      <c r="E5" s="13" t="s">
        <v>17</v>
      </c>
    </row>
    <row r="6" spans="1:5" x14ac:dyDescent="0.3">
      <c r="A6" s="13" t="s">
        <v>34</v>
      </c>
      <c r="B6" s="13">
        <v>35</v>
      </c>
      <c r="C6" s="13">
        <v>32</v>
      </c>
      <c r="D6" s="38">
        <f t="shared" si="0"/>
        <v>0.91428571428571426</v>
      </c>
      <c r="E6" s="13" t="s">
        <v>17</v>
      </c>
    </row>
    <row r="7" spans="1:5" x14ac:dyDescent="0.3">
      <c r="A7" s="13" t="s">
        <v>35</v>
      </c>
      <c r="B7" s="13">
        <v>1205</v>
      </c>
      <c r="C7" s="13">
        <v>1010</v>
      </c>
      <c r="D7" s="38">
        <f t="shared" si="0"/>
        <v>0.83817427385892118</v>
      </c>
      <c r="E7" s="13" t="s">
        <v>17</v>
      </c>
    </row>
    <row r="8" spans="1:5" x14ac:dyDescent="0.3">
      <c r="A8" s="13" t="s">
        <v>36</v>
      </c>
      <c r="B8" s="13">
        <v>1094</v>
      </c>
      <c r="C8" s="13">
        <v>949</v>
      </c>
      <c r="D8" s="38">
        <f t="shared" si="0"/>
        <v>0.86745886654478976</v>
      </c>
      <c r="E8" s="13" t="s">
        <v>17</v>
      </c>
    </row>
    <row r="9" spans="1:5" x14ac:dyDescent="0.3">
      <c r="A9" s="13" t="s">
        <v>64</v>
      </c>
      <c r="B9" s="13">
        <v>1140</v>
      </c>
      <c r="C9" s="13">
        <v>990</v>
      </c>
      <c r="D9" s="38">
        <f t="shared" si="0"/>
        <v>0.86842105263157898</v>
      </c>
      <c r="E9" s="13" t="s">
        <v>17</v>
      </c>
    </row>
    <row r="10" spans="1:5" x14ac:dyDescent="0.3">
      <c r="A10" s="13" t="s">
        <v>37</v>
      </c>
      <c r="B10" s="13">
        <v>428</v>
      </c>
      <c r="C10" s="13">
        <v>373</v>
      </c>
      <c r="D10" s="38">
        <f t="shared" si="0"/>
        <v>0.87149532710280375</v>
      </c>
      <c r="E10" s="13" t="s">
        <v>17</v>
      </c>
    </row>
    <row r="11" spans="1:5" x14ac:dyDescent="0.3">
      <c r="A11" s="13" t="s">
        <v>30</v>
      </c>
      <c r="B11" s="13">
        <v>5803</v>
      </c>
      <c r="C11" s="13">
        <v>4997</v>
      </c>
      <c r="D11" s="38">
        <f t="shared" si="0"/>
        <v>0.86110632431500944</v>
      </c>
      <c r="E11" s="13" t="s">
        <v>15</v>
      </c>
    </row>
    <row r="12" spans="1:5" x14ac:dyDescent="0.3">
      <c r="A12" s="13" t="s">
        <v>31</v>
      </c>
      <c r="B12" s="13">
        <v>365</v>
      </c>
      <c r="C12" s="13">
        <v>294</v>
      </c>
      <c r="D12" s="38">
        <f t="shared" si="0"/>
        <v>0.80547945205479454</v>
      </c>
      <c r="E12" s="13" t="s">
        <v>15</v>
      </c>
    </row>
    <row r="13" spans="1:5" x14ac:dyDescent="0.3">
      <c r="A13" s="13" t="s">
        <v>32</v>
      </c>
      <c r="B13" s="13">
        <v>32</v>
      </c>
      <c r="C13" s="13">
        <v>16</v>
      </c>
      <c r="D13" s="38">
        <f t="shared" si="0"/>
        <v>0.5</v>
      </c>
      <c r="E13" s="13" t="s">
        <v>15</v>
      </c>
    </row>
    <row r="14" spans="1:5" x14ac:dyDescent="0.3">
      <c r="A14" s="13" t="s">
        <v>33</v>
      </c>
      <c r="B14" s="13">
        <v>897</v>
      </c>
      <c r="C14" s="13">
        <v>851</v>
      </c>
      <c r="D14" s="38">
        <f t="shared" si="0"/>
        <v>0.94871794871794868</v>
      </c>
      <c r="E14" s="13" t="s">
        <v>15</v>
      </c>
    </row>
    <row r="15" spans="1:5" x14ac:dyDescent="0.3">
      <c r="A15" s="13" t="s">
        <v>34</v>
      </c>
      <c r="B15" s="13">
        <v>35</v>
      </c>
      <c r="C15" s="13">
        <v>29</v>
      </c>
      <c r="D15" s="38">
        <f t="shared" si="0"/>
        <v>0.82857142857142863</v>
      </c>
      <c r="E15" s="13" t="s">
        <v>15</v>
      </c>
    </row>
    <row r="16" spans="1:5" x14ac:dyDescent="0.3">
      <c r="A16" s="13" t="s">
        <v>35</v>
      </c>
      <c r="B16" s="13">
        <v>1024</v>
      </c>
      <c r="C16" s="13">
        <v>888</v>
      </c>
      <c r="D16" s="38">
        <f t="shared" si="0"/>
        <v>0.8671875</v>
      </c>
      <c r="E16" s="13" t="s">
        <v>15</v>
      </c>
    </row>
    <row r="17" spans="1:5" x14ac:dyDescent="0.3">
      <c r="A17" s="13" t="s">
        <v>36</v>
      </c>
      <c r="B17" s="13">
        <v>970</v>
      </c>
      <c r="C17" s="13">
        <v>829</v>
      </c>
      <c r="D17" s="38">
        <f t="shared" si="0"/>
        <v>0.85463917525773192</v>
      </c>
      <c r="E17" s="13" t="s">
        <v>15</v>
      </c>
    </row>
    <row r="18" spans="1:5" x14ac:dyDescent="0.3">
      <c r="A18" s="13" t="s">
        <v>64</v>
      </c>
      <c r="B18" s="13">
        <v>1025</v>
      </c>
      <c r="C18" s="13">
        <v>894</v>
      </c>
      <c r="D18" s="38">
        <f t="shared" si="0"/>
        <v>0.87219512195121951</v>
      </c>
      <c r="E18" s="13" t="s">
        <v>15</v>
      </c>
    </row>
    <row r="19" spans="1:5" x14ac:dyDescent="0.3">
      <c r="A19" s="13" t="s">
        <v>37</v>
      </c>
      <c r="B19" s="13">
        <v>451</v>
      </c>
      <c r="C19" s="13">
        <v>398</v>
      </c>
      <c r="D19" s="38">
        <f t="shared" si="0"/>
        <v>0.8824833702882483</v>
      </c>
      <c r="E19" s="13" t="s">
        <v>15</v>
      </c>
    </row>
    <row r="20" spans="1:5" x14ac:dyDescent="0.3">
      <c r="A20" s="44" t="s">
        <v>30</v>
      </c>
      <c r="B20" s="43">
        <v>7228</v>
      </c>
      <c r="C20" s="43">
        <v>6155</v>
      </c>
      <c r="D20" s="38">
        <f t="shared" si="0"/>
        <v>0.85154952960708352</v>
      </c>
      <c r="E20" s="13" t="s">
        <v>42</v>
      </c>
    </row>
    <row r="21" spans="1:5" x14ac:dyDescent="0.3">
      <c r="A21" s="44" t="s">
        <v>31</v>
      </c>
      <c r="B21" s="44">
        <v>736</v>
      </c>
      <c r="C21" s="44">
        <v>625</v>
      </c>
      <c r="D21" s="38">
        <f t="shared" si="0"/>
        <v>0.84918478260869568</v>
      </c>
      <c r="E21" s="13" t="s">
        <v>42</v>
      </c>
    </row>
    <row r="22" spans="1:5" x14ac:dyDescent="0.3">
      <c r="A22" s="44" t="s">
        <v>32</v>
      </c>
      <c r="B22" s="44">
        <v>36</v>
      </c>
      <c r="C22" s="44">
        <v>23</v>
      </c>
      <c r="D22" s="38">
        <f t="shared" si="0"/>
        <v>0.63888888888888884</v>
      </c>
      <c r="E22" s="13" t="s">
        <v>42</v>
      </c>
    </row>
    <row r="23" spans="1:5" x14ac:dyDescent="0.3">
      <c r="A23" s="44" t="s">
        <v>33</v>
      </c>
      <c r="B23" s="43">
        <v>1185</v>
      </c>
      <c r="C23" s="43">
        <v>1115</v>
      </c>
      <c r="D23" s="38">
        <f t="shared" si="0"/>
        <v>0.94092827004219415</v>
      </c>
      <c r="E23" s="13" t="s">
        <v>42</v>
      </c>
    </row>
    <row r="24" spans="1:5" x14ac:dyDescent="0.3">
      <c r="A24" s="44" t="s">
        <v>34</v>
      </c>
      <c r="B24" s="44">
        <v>102</v>
      </c>
      <c r="C24" s="44">
        <v>91</v>
      </c>
      <c r="D24" s="38">
        <f t="shared" si="0"/>
        <v>0.89215686274509809</v>
      </c>
      <c r="E24" s="13" t="s">
        <v>42</v>
      </c>
    </row>
    <row r="25" spans="1:5" x14ac:dyDescent="0.3">
      <c r="A25" s="44" t="s">
        <v>35</v>
      </c>
      <c r="B25" s="43">
        <v>1196</v>
      </c>
      <c r="C25" s="44">
        <v>991</v>
      </c>
      <c r="D25" s="38">
        <f t="shared" si="0"/>
        <v>0.82859531772575246</v>
      </c>
      <c r="E25" s="13" t="s">
        <v>42</v>
      </c>
    </row>
    <row r="26" spans="1:5" x14ac:dyDescent="0.3">
      <c r="A26" s="44" t="s">
        <v>36</v>
      </c>
      <c r="B26" s="43">
        <v>1065</v>
      </c>
      <c r="C26" s="44">
        <v>880</v>
      </c>
      <c r="D26" s="38">
        <f t="shared" si="0"/>
        <v>0.82629107981220662</v>
      </c>
      <c r="E26" s="13" t="s">
        <v>42</v>
      </c>
    </row>
    <row r="27" spans="1:5" x14ac:dyDescent="0.3">
      <c r="A27" s="44" t="s">
        <v>64</v>
      </c>
      <c r="B27" s="43">
        <v>1130</v>
      </c>
      <c r="C27" s="44">
        <v>993</v>
      </c>
      <c r="D27" s="38">
        <f t="shared" si="0"/>
        <v>0.87876106194690262</v>
      </c>
      <c r="E27" s="13" t="s">
        <v>42</v>
      </c>
    </row>
    <row r="28" spans="1:5" x14ac:dyDescent="0.3">
      <c r="A28" s="44" t="s">
        <v>37</v>
      </c>
      <c r="B28" s="44">
        <v>448</v>
      </c>
      <c r="C28" s="44">
        <v>396</v>
      </c>
      <c r="D28" s="38">
        <f t="shared" si="0"/>
        <v>0.8839285714285714</v>
      </c>
      <c r="E28" s="13" t="s">
        <v>42</v>
      </c>
    </row>
    <row r="29" spans="1:5" x14ac:dyDescent="0.3">
      <c r="A29" s="44" t="s">
        <v>30</v>
      </c>
      <c r="B29" s="43">
        <v>5862</v>
      </c>
      <c r="C29" s="43">
        <v>4958</v>
      </c>
      <c r="D29" s="38">
        <f t="shared" si="0"/>
        <v>0.84578642101671786</v>
      </c>
      <c r="E29" s="13" t="s">
        <v>44</v>
      </c>
    </row>
    <row r="30" spans="1:5" x14ac:dyDescent="0.3">
      <c r="A30" s="44" t="s">
        <v>31</v>
      </c>
      <c r="B30" s="44">
        <v>541</v>
      </c>
      <c r="C30" s="44">
        <v>447</v>
      </c>
      <c r="D30" s="38">
        <f t="shared" si="0"/>
        <v>0.82624768946395566</v>
      </c>
      <c r="E30" s="13" t="s">
        <v>44</v>
      </c>
    </row>
    <row r="31" spans="1:5" x14ac:dyDescent="0.3">
      <c r="A31" s="44" t="s">
        <v>32</v>
      </c>
      <c r="B31" s="44">
        <v>40</v>
      </c>
      <c r="C31" s="44">
        <v>22</v>
      </c>
      <c r="D31" s="38">
        <f t="shared" si="0"/>
        <v>0.55000000000000004</v>
      </c>
      <c r="E31" s="13" t="s">
        <v>44</v>
      </c>
    </row>
    <row r="32" spans="1:5" x14ac:dyDescent="0.3">
      <c r="A32" s="44" t="s">
        <v>33</v>
      </c>
      <c r="B32" s="44">
        <v>903</v>
      </c>
      <c r="C32" s="44">
        <v>851</v>
      </c>
      <c r="D32" s="38">
        <f t="shared" si="0"/>
        <v>0.9424141749723145</v>
      </c>
      <c r="E32" s="13" t="s">
        <v>44</v>
      </c>
    </row>
    <row r="33" spans="1:5" x14ac:dyDescent="0.3">
      <c r="A33" s="44" t="s">
        <v>34</v>
      </c>
      <c r="B33" s="44">
        <v>170</v>
      </c>
      <c r="C33" s="44">
        <v>145</v>
      </c>
      <c r="D33" s="38">
        <f t="shared" si="0"/>
        <v>0.8529411764705882</v>
      </c>
      <c r="E33" s="13" t="s">
        <v>44</v>
      </c>
    </row>
    <row r="34" spans="1:5" x14ac:dyDescent="0.3">
      <c r="A34" s="44" t="s">
        <v>35</v>
      </c>
      <c r="B34" s="43">
        <v>1121</v>
      </c>
      <c r="C34" s="44">
        <v>953</v>
      </c>
      <c r="D34" s="38">
        <f t="shared" si="0"/>
        <v>0.8501338090990187</v>
      </c>
      <c r="E34" s="13" t="s">
        <v>44</v>
      </c>
    </row>
    <row r="35" spans="1:5" x14ac:dyDescent="0.3">
      <c r="A35" s="44" t="s">
        <v>36</v>
      </c>
      <c r="B35" s="44">
        <v>760</v>
      </c>
      <c r="C35" s="44">
        <v>634</v>
      </c>
      <c r="D35" s="38">
        <f t="shared" si="0"/>
        <v>0.83421052631578951</v>
      </c>
      <c r="E35" s="13" t="s">
        <v>44</v>
      </c>
    </row>
    <row r="36" spans="1:5" x14ac:dyDescent="0.3">
      <c r="A36" s="44" t="s">
        <v>64</v>
      </c>
      <c r="B36" s="44">
        <v>979</v>
      </c>
      <c r="C36" s="44">
        <v>845</v>
      </c>
      <c r="D36" s="38">
        <f t="shared" si="0"/>
        <v>0.86312563840653733</v>
      </c>
      <c r="E36" s="13" t="s">
        <v>44</v>
      </c>
    </row>
    <row r="37" spans="1:5" x14ac:dyDescent="0.3">
      <c r="A37" s="44" t="s">
        <v>37</v>
      </c>
      <c r="B37" s="44">
        <v>550</v>
      </c>
      <c r="C37" s="44">
        <v>471</v>
      </c>
      <c r="D37" s="38">
        <f t="shared" si="0"/>
        <v>0.85636363636363633</v>
      </c>
      <c r="E37" s="13" t="s">
        <v>44</v>
      </c>
    </row>
    <row r="38" spans="1:5" x14ac:dyDescent="0.3">
      <c r="A38" s="44" t="s">
        <v>30</v>
      </c>
      <c r="B38" s="43">
        <v>6540</v>
      </c>
      <c r="C38" s="43">
        <v>5581</v>
      </c>
      <c r="D38" s="38">
        <f t="shared" si="0"/>
        <v>0.85336391437308867</v>
      </c>
      <c r="E38" s="13" t="s">
        <v>46</v>
      </c>
    </row>
    <row r="39" spans="1:5" x14ac:dyDescent="0.3">
      <c r="A39" s="44" t="s">
        <v>31</v>
      </c>
      <c r="B39" s="44">
        <v>580</v>
      </c>
      <c r="C39" s="44">
        <v>479</v>
      </c>
      <c r="D39" s="38">
        <f t="shared" si="0"/>
        <v>0.82586206896551728</v>
      </c>
      <c r="E39" s="13" t="s">
        <v>46</v>
      </c>
    </row>
    <row r="40" spans="1:5" x14ac:dyDescent="0.3">
      <c r="A40" s="44" t="s">
        <v>32</v>
      </c>
      <c r="B40" s="44">
        <v>29</v>
      </c>
      <c r="C40" s="44">
        <v>21</v>
      </c>
      <c r="D40" s="38">
        <f t="shared" si="0"/>
        <v>0.72413793103448276</v>
      </c>
      <c r="E40" s="13" t="s">
        <v>46</v>
      </c>
    </row>
    <row r="41" spans="1:5" x14ac:dyDescent="0.3">
      <c r="A41" s="44" t="s">
        <v>33</v>
      </c>
      <c r="B41" s="44">
        <v>990</v>
      </c>
      <c r="C41" s="44">
        <v>926</v>
      </c>
      <c r="D41" s="38">
        <f t="shared" si="0"/>
        <v>0.93535353535353538</v>
      </c>
      <c r="E41" s="13" t="s">
        <v>46</v>
      </c>
    </row>
    <row r="42" spans="1:5" x14ac:dyDescent="0.3">
      <c r="A42" s="44" t="s">
        <v>34</v>
      </c>
      <c r="B42" s="44">
        <v>142</v>
      </c>
      <c r="C42" s="44">
        <v>109</v>
      </c>
      <c r="D42" s="38">
        <f t="shared" si="0"/>
        <v>0.76760563380281688</v>
      </c>
      <c r="E42" s="13" t="s">
        <v>46</v>
      </c>
    </row>
    <row r="43" spans="1:5" x14ac:dyDescent="0.3">
      <c r="A43" s="44" t="s">
        <v>35</v>
      </c>
      <c r="B43" s="43">
        <v>1208</v>
      </c>
      <c r="C43" s="44">
        <v>1020</v>
      </c>
      <c r="D43" s="38">
        <f t="shared" si="0"/>
        <v>0.8443708609271523</v>
      </c>
      <c r="E43" s="13" t="s">
        <v>46</v>
      </c>
    </row>
    <row r="44" spans="1:5" x14ac:dyDescent="0.3">
      <c r="A44" s="44" t="s">
        <v>36</v>
      </c>
      <c r="B44" s="44">
        <v>1164</v>
      </c>
      <c r="C44" s="44">
        <v>997</v>
      </c>
      <c r="D44" s="38">
        <f t="shared" si="0"/>
        <v>0.85652920962199308</v>
      </c>
      <c r="E44" s="13" t="s">
        <v>46</v>
      </c>
    </row>
    <row r="45" spans="1:5" x14ac:dyDescent="0.3">
      <c r="A45" s="44" t="s">
        <v>64</v>
      </c>
      <c r="B45" s="44">
        <v>1168</v>
      </c>
      <c r="C45" s="44">
        <v>1034</v>
      </c>
      <c r="D45" s="38">
        <f t="shared" si="0"/>
        <v>0.88527397260273977</v>
      </c>
      <c r="E45" s="13" t="s">
        <v>46</v>
      </c>
    </row>
    <row r="46" spans="1:5" x14ac:dyDescent="0.3">
      <c r="A46" s="44" t="s">
        <v>37</v>
      </c>
      <c r="B46" s="44">
        <v>445</v>
      </c>
      <c r="C46" s="44">
        <v>398</v>
      </c>
      <c r="D46" s="38">
        <f t="shared" si="0"/>
        <v>0.89438202247191012</v>
      </c>
      <c r="E46" s="13" t="s">
        <v>46</v>
      </c>
    </row>
    <row r="47" spans="1:5" x14ac:dyDescent="0.3">
      <c r="A47" s="44" t="s">
        <v>30</v>
      </c>
      <c r="B47" s="43">
        <v>6792</v>
      </c>
      <c r="C47" s="43">
        <v>5671</v>
      </c>
      <c r="D47" s="38">
        <f t="shared" si="0"/>
        <v>0.8349528857479388</v>
      </c>
      <c r="E47" s="13" t="s">
        <v>50</v>
      </c>
    </row>
    <row r="48" spans="1:5" x14ac:dyDescent="0.3">
      <c r="A48" s="44" t="s">
        <v>31</v>
      </c>
      <c r="B48" s="44">
        <v>567</v>
      </c>
      <c r="C48" s="44">
        <v>467</v>
      </c>
      <c r="D48" s="38">
        <f t="shared" si="0"/>
        <v>0.82363315696649031</v>
      </c>
      <c r="E48" s="13" t="s">
        <v>50</v>
      </c>
    </row>
    <row r="49" spans="1:5" x14ac:dyDescent="0.3">
      <c r="A49" s="44" t="s">
        <v>32</v>
      </c>
      <c r="B49" s="44">
        <v>17</v>
      </c>
      <c r="C49" s="44">
        <v>12</v>
      </c>
      <c r="D49" s="38">
        <f t="shared" si="0"/>
        <v>0.70588235294117652</v>
      </c>
      <c r="E49" s="13" t="s">
        <v>50</v>
      </c>
    </row>
    <row r="50" spans="1:5" x14ac:dyDescent="0.3">
      <c r="A50" s="44" t="s">
        <v>33</v>
      </c>
      <c r="B50" s="44">
        <v>712</v>
      </c>
      <c r="C50" s="44">
        <v>660</v>
      </c>
      <c r="D50" s="38">
        <f t="shared" si="0"/>
        <v>0.9269662921348315</v>
      </c>
      <c r="E50" s="13" t="s">
        <v>50</v>
      </c>
    </row>
    <row r="51" spans="1:5" x14ac:dyDescent="0.3">
      <c r="A51" s="44" t="s">
        <v>34</v>
      </c>
      <c r="B51" s="44">
        <v>9</v>
      </c>
      <c r="C51" s="44">
        <v>8</v>
      </c>
      <c r="D51" s="38">
        <f t="shared" si="0"/>
        <v>0.88888888888888884</v>
      </c>
      <c r="E51" s="13" t="s">
        <v>50</v>
      </c>
    </row>
    <row r="52" spans="1:5" x14ac:dyDescent="0.3">
      <c r="A52" s="44" t="s">
        <v>35</v>
      </c>
      <c r="B52" s="43">
        <v>1205</v>
      </c>
      <c r="C52" s="44">
        <v>996</v>
      </c>
      <c r="D52" s="38">
        <f t="shared" si="0"/>
        <v>0.82655601659751032</v>
      </c>
      <c r="E52" s="13" t="s">
        <v>50</v>
      </c>
    </row>
    <row r="53" spans="1:5" x14ac:dyDescent="0.3">
      <c r="A53" s="44" t="s">
        <v>36</v>
      </c>
      <c r="B53" s="44">
        <v>1379</v>
      </c>
      <c r="C53" s="44">
        <v>1180</v>
      </c>
      <c r="D53" s="38">
        <f t="shared" si="0"/>
        <v>0.85569253081943442</v>
      </c>
      <c r="E53" s="13" t="s">
        <v>50</v>
      </c>
    </row>
    <row r="54" spans="1:5" x14ac:dyDescent="0.3">
      <c r="A54" s="44" t="s">
        <v>64</v>
      </c>
      <c r="B54" s="44">
        <v>1034</v>
      </c>
      <c r="C54" s="44">
        <v>897</v>
      </c>
      <c r="D54" s="38">
        <f t="shared" si="0"/>
        <v>0.86750483558994196</v>
      </c>
      <c r="E54" s="13" t="s">
        <v>50</v>
      </c>
    </row>
    <row r="55" spans="1:5" x14ac:dyDescent="0.3">
      <c r="A55" s="44" t="s">
        <v>37</v>
      </c>
      <c r="B55" s="44">
        <v>772</v>
      </c>
      <c r="C55" s="44">
        <v>644</v>
      </c>
      <c r="D55" s="38">
        <f t="shared" si="0"/>
        <v>0.83419689119170981</v>
      </c>
      <c r="E55" s="13" t="s">
        <v>50</v>
      </c>
    </row>
    <row r="56" spans="1:5" x14ac:dyDescent="0.3">
      <c r="A56" s="44" t="s">
        <v>30</v>
      </c>
      <c r="B56" s="43">
        <v>6361</v>
      </c>
      <c r="C56" s="43">
        <v>5341</v>
      </c>
      <c r="D56" s="38">
        <f t="shared" si="0"/>
        <v>0.83964785411098886</v>
      </c>
      <c r="E56" s="13" t="s">
        <v>52</v>
      </c>
    </row>
    <row r="57" spans="1:5" x14ac:dyDescent="0.3">
      <c r="A57" s="44" t="s">
        <v>31</v>
      </c>
      <c r="B57" s="44">
        <v>751</v>
      </c>
      <c r="C57" s="44">
        <v>636</v>
      </c>
      <c r="D57" s="38">
        <f t="shared" si="0"/>
        <v>0.84687083888149139</v>
      </c>
      <c r="E57" s="13" t="s">
        <v>52</v>
      </c>
    </row>
    <row r="58" spans="1:5" x14ac:dyDescent="0.3">
      <c r="A58" s="44" t="s">
        <v>32</v>
      </c>
      <c r="B58" s="44">
        <v>27</v>
      </c>
      <c r="C58" s="44">
        <v>15</v>
      </c>
      <c r="D58" s="38">
        <f t="shared" si="0"/>
        <v>0.55555555555555558</v>
      </c>
      <c r="E58" s="13" t="s">
        <v>52</v>
      </c>
    </row>
    <row r="59" spans="1:5" x14ac:dyDescent="0.3">
      <c r="A59" s="44" t="s">
        <v>33</v>
      </c>
      <c r="B59" s="44">
        <v>958</v>
      </c>
      <c r="C59" s="44">
        <v>893</v>
      </c>
      <c r="D59" s="38">
        <f t="shared" si="0"/>
        <v>0.93215031315240082</v>
      </c>
      <c r="E59" s="13" t="s">
        <v>52</v>
      </c>
    </row>
    <row r="60" spans="1:5" x14ac:dyDescent="0.3">
      <c r="A60" s="44" t="s">
        <v>34</v>
      </c>
      <c r="B60" s="44">
        <v>71</v>
      </c>
      <c r="C60" s="44">
        <v>60</v>
      </c>
      <c r="D60" s="38">
        <f t="shared" si="0"/>
        <v>0.84507042253521125</v>
      </c>
      <c r="E60" s="13" t="s">
        <v>52</v>
      </c>
    </row>
    <row r="61" spans="1:5" x14ac:dyDescent="0.3">
      <c r="A61" s="44" t="s">
        <v>35</v>
      </c>
      <c r="B61" s="43">
        <v>927</v>
      </c>
      <c r="C61" s="44">
        <v>805</v>
      </c>
      <c r="D61" s="38">
        <f t="shared" si="0"/>
        <v>0.86839266450916941</v>
      </c>
      <c r="E61" s="13" t="s">
        <v>52</v>
      </c>
    </row>
    <row r="62" spans="1:5" x14ac:dyDescent="0.3">
      <c r="A62" s="44" t="s">
        <v>36</v>
      </c>
      <c r="B62" s="44">
        <v>1114</v>
      </c>
      <c r="C62" s="44">
        <v>948</v>
      </c>
      <c r="D62" s="38">
        <f t="shared" si="0"/>
        <v>0.85098743267504484</v>
      </c>
      <c r="E62" s="13" t="s">
        <v>52</v>
      </c>
    </row>
    <row r="63" spans="1:5" x14ac:dyDescent="0.3">
      <c r="A63" s="44" t="s">
        <v>64</v>
      </c>
      <c r="B63" s="44">
        <v>986</v>
      </c>
      <c r="C63" s="44">
        <v>858</v>
      </c>
      <c r="D63" s="38">
        <f t="shared" si="0"/>
        <v>0.87018255578093306</v>
      </c>
      <c r="E63" s="13" t="s">
        <v>52</v>
      </c>
    </row>
    <row r="64" spans="1:5" x14ac:dyDescent="0.3">
      <c r="A64" s="44" t="s">
        <v>37</v>
      </c>
      <c r="B64" s="44">
        <v>495</v>
      </c>
      <c r="C64" s="44">
        <v>432</v>
      </c>
      <c r="D64" s="38">
        <f t="shared" si="0"/>
        <v>0.87272727272727268</v>
      </c>
      <c r="E64" s="13" t="s">
        <v>52</v>
      </c>
    </row>
    <row r="65" spans="1:5" x14ac:dyDescent="0.3">
      <c r="A65" s="44" t="s">
        <v>30</v>
      </c>
      <c r="B65" s="43">
        <v>6950</v>
      </c>
      <c r="C65" s="43">
        <v>5867</v>
      </c>
      <c r="D65" s="38">
        <f t="shared" si="0"/>
        <v>0.84417266187050355</v>
      </c>
      <c r="E65" s="13" t="s">
        <v>54</v>
      </c>
    </row>
    <row r="66" spans="1:5" x14ac:dyDescent="0.3">
      <c r="A66" s="44" t="s">
        <v>31</v>
      </c>
      <c r="B66" s="44">
        <v>732</v>
      </c>
      <c r="C66" s="44">
        <v>633</v>
      </c>
      <c r="D66" s="38">
        <f t="shared" si="0"/>
        <v>0.86475409836065575</v>
      </c>
      <c r="E66" s="13" t="s">
        <v>54</v>
      </c>
    </row>
    <row r="67" spans="1:5" x14ac:dyDescent="0.3">
      <c r="A67" s="44" t="s">
        <v>32</v>
      </c>
      <c r="B67" s="44">
        <v>13</v>
      </c>
      <c r="C67" s="44">
        <v>3</v>
      </c>
      <c r="D67" s="38">
        <f t="shared" si="0"/>
        <v>0.23076923076923078</v>
      </c>
      <c r="E67" s="13" t="s">
        <v>54</v>
      </c>
    </row>
    <row r="68" spans="1:5" x14ac:dyDescent="0.3">
      <c r="A68" s="44" t="s">
        <v>33</v>
      </c>
      <c r="B68" s="44">
        <v>789</v>
      </c>
      <c r="C68" s="44">
        <v>738</v>
      </c>
      <c r="D68" s="38">
        <f t="shared" si="0"/>
        <v>0.93536121673003803</v>
      </c>
      <c r="E68" s="13" t="s">
        <v>54</v>
      </c>
    </row>
    <row r="69" spans="1:5" x14ac:dyDescent="0.3">
      <c r="A69" s="44" t="s">
        <v>34</v>
      </c>
      <c r="B69" s="44">
        <v>51</v>
      </c>
      <c r="C69" s="44">
        <v>40</v>
      </c>
      <c r="D69" s="38">
        <f t="shared" ref="D69:D73" si="1">SUM(C69/B69)</f>
        <v>0.78431372549019607</v>
      </c>
      <c r="E69" s="13" t="s">
        <v>54</v>
      </c>
    </row>
    <row r="70" spans="1:5" x14ac:dyDescent="0.3">
      <c r="A70" s="44" t="s">
        <v>35</v>
      </c>
      <c r="B70" s="43">
        <v>1310</v>
      </c>
      <c r="C70" s="44">
        <v>1104</v>
      </c>
      <c r="D70" s="38">
        <f t="shared" si="1"/>
        <v>0.84274809160305342</v>
      </c>
      <c r="E70" s="13" t="s">
        <v>54</v>
      </c>
    </row>
    <row r="71" spans="1:5" x14ac:dyDescent="0.3">
      <c r="A71" s="44" t="s">
        <v>36</v>
      </c>
      <c r="B71" s="44">
        <v>864</v>
      </c>
      <c r="C71" s="44">
        <v>767</v>
      </c>
      <c r="D71" s="38">
        <f t="shared" si="1"/>
        <v>0.88773148148148151</v>
      </c>
      <c r="E71" s="13" t="s">
        <v>54</v>
      </c>
    </row>
    <row r="72" spans="1:5" x14ac:dyDescent="0.3">
      <c r="A72" s="44" t="s">
        <v>64</v>
      </c>
      <c r="B72" s="44">
        <v>1260</v>
      </c>
      <c r="C72" s="44">
        <v>1090</v>
      </c>
      <c r="D72" s="38">
        <f t="shared" si="1"/>
        <v>0.86507936507936511</v>
      </c>
      <c r="E72" s="13" t="s">
        <v>54</v>
      </c>
    </row>
    <row r="73" spans="1:5" x14ac:dyDescent="0.3">
      <c r="A73" s="44" t="s">
        <v>37</v>
      </c>
      <c r="B73" s="44">
        <v>748</v>
      </c>
      <c r="C73" s="44">
        <v>644</v>
      </c>
      <c r="D73" s="38">
        <f t="shared" si="1"/>
        <v>0.86096256684491979</v>
      </c>
      <c r="E73" s="13" t="s">
        <v>54</v>
      </c>
    </row>
    <row r="74" spans="1:5" x14ac:dyDescent="0.3">
      <c r="A74" s="55" t="s">
        <v>30</v>
      </c>
      <c r="B74" s="56">
        <v>6167</v>
      </c>
      <c r="C74" s="56">
        <v>5152</v>
      </c>
      <c r="D74" s="57">
        <f>SUM(C74/B74)</f>
        <v>0.8354143019296254</v>
      </c>
      <c r="E74" s="51" t="s">
        <v>56</v>
      </c>
    </row>
    <row r="75" spans="1:5" x14ac:dyDescent="0.3">
      <c r="A75" s="55" t="s">
        <v>31</v>
      </c>
      <c r="B75" s="56">
        <v>595</v>
      </c>
      <c r="C75" s="56">
        <v>507</v>
      </c>
      <c r="D75" s="57">
        <f t="shared" ref="D75:D138" si="2">SUM(C75/B75)</f>
        <v>0.85210084033613442</v>
      </c>
      <c r="E75" s="51" t="s">
        <v>56</v>
      </c>
    </row>
    <row r="76" spans="1:5" x14ac:dyDescent="0.3">
      <c r="A76" s="55" t="s">
        <v>32</v>
      </c>
      <c r="B76" s="56">
        <v>14</v>
      </c>
      <c r="C76" s="56">
        <v>9</v>
      </c>
      <c r="D76" s="57">
        <f t="shared" si="2"/>
        <v>0.6428571428571429</v>
      </c>
      <c r="E76" s="51" t="s">
        <v>56</v>
      </c>
    </row>
    <row r="77" spans="1:5" x14ac:dyDescent="0.3">
      <c r="A77" s="55" t="s">
        <v>33</v>
      </c>
      <c r="B77" s="56">
        <v>528</v>
      </c>
      <c r="C77" s="56">
        <v>487</v>
      </c>
      <c r="D77" s="57">
        <f t="shared" si="2"/>
        <v>0.92234848484848486</v>
      </c>
      <c r="E77" s="51" t="s">
        <v>56</v>
      </c>
    </row>
    <row r="78" spans="1:5" x14ac:dyDescent="0.3">
      <c r="A78" s="55" t="s">
        <v>57</v>
      </c>
      <c r="B78" s="56">
        <v>21</v>
      </c>
      <c r="C78" s="56">
        <v>17</v>
      </c>
      <c r="D78" s="57">
        <f t="shared" si="2"/>
        <v>0.80952380952380953</v>
      </c>
      <c r="E78" s="51" t="s">
        <v>56</v>
      </c>
    </row>
    <row r="79" spans="1:5" x14ac:dyDescent="0.3">
      <c r="A79" s="55" t="s">
        <v>58</v>
      </c>
      <c r="B79" s="56">
        <v>137</v>
      </c>
      <c r="C79" s="56">
        <v>82</v>
      </c>
      <c r="D79" s="57">
        <f t="shared" si="2"/>
        <v>0.59854014598540151</v>
      </c>
      <c r="E79" s="51" t="s">
        <v>56</v>
      </c>
    </row>
    <row r="80" spans="1:5" x14ac:dyDescent="0.3">
      <c r="A80" s="55" t="s">
        <v>35</v>
      </c>
      <c r="B80" s="56">
        <v>1086</v>
      </c>
      <c r="C80" s="56">
        <v>932</v>
      </c>
      <c r="D80" s="57">
        <f t="shared" si="2"/>
        <v>0.85819521178637204</v>
      </c>
      <c r="E80" s="51" t="s">
        <v>56</v>
      </c>
    </row>
    <row r="81" spans="1:5" x14ac:dyDescent="0.3">
      <c r="A81" s="55" t="s">
        <v>36</v>
      </c>
      <c r="B81" s="56">
        <v>1003</v>
      </c>
      <c r="C81" s="56">
        <v>873</v>
      </c>
      <c r="D81" s="57">
        <f t="shared" si="2"/>
        <v>0.87038883349950147</v>
      </c>
      <c r="E81" s="51" t="s">
        <v>56</v>
      </c>
    </row>
    <row r="82" spans="1:5" x14ac:dyDescent="0.3">
      <c r="A82" s="55" t="s">
        <v>64</v>
      </c>
      <c r="B82" s="56">
        <v>1162</v>
      </c>
      <c r="C82" s="56">
        <v>1009</v>
      </c>
      <c r="D82" s="57">
        <f t="shared" si="2"/>
        <v>0.86833046471600683</v>
      </c>
      <c r="E82" s="51" t="s">
        <v>56</v>
      </c>
    </row>
    <row r="83" spans="1:5" x14ac:dyDescent="0.3">
      <c r="A83" s="55" t="s">
        <v>59</v>
      </c>
      <c r="B83" s="56">
        <v>370</v>
      </c>
      <c r="C83" s="56">
        <v>285</v>
      </c>
      <c r="D83" s="57">
        <f t="shared" si="2"/>
        <v>0.77027027027027029</v>
      </c>
      <c r="E83" s="51" t="s">
        <v>56</v>
      </c>
    </row>
    <row r="84" spans="1:5" x14ac:dyDescent="0.3">
      <c r="A84" s="55" t="s">
        <v>60</v>
      </c>
      <c r="B84" s="56">
        <v>633</v>
      </c>
      <c r="C84" s="56">
        <v>433</v>
      </c>
      <c r="D84" s="57">
        <f t="shared" si="2"/>
        <v>0.68404423380726698</v>
      </c>
      <c r="E84" s="51" t="s">
        <v>56</v>
      </c>
    </row>
    <row r="85" spans="1:5" x14ac:dyDescent="0.3">
      <c r="A85" s="55" t="s">
        <v>37</v>
      </c>
      <c r="B85" s="56">
        <v>614</v>
      </c>
      <c r="C85" s="56">
        <v>515</v>
      </c>
      <c r="D85" s="57">
        <f t="shared" si="2"/>
        <v>0.83876221498371339</v>
      </c>
      <c r="E85" s="51" t="s">
        <v>56</v>
      </c>
    </row>
    <row r="86" spans="1:5" x14ac:dyDescent="0.3">
      <c r="A86" s="55" t="s">
        <v>62</v>
      </c>
      <c r="B86" s="56">
        <v>4</v>
      </c>
      <c r="C86" s="56">
        <v>3</v>
      </c>
      <c r="D86" s="57">
        <f t="shared" si="2"/>
        <v>0.75</v>
      </c>
      <c r="E86" s="51" t="s">
        <v>56</v>
      </c>
    </row>
    <row r="87" spans="1:5" x14ac:dyDescent="0.3">
      <c r="A87" s="55" t="s">
        <v>30</v>
      </c>
      <c r="B87" s="56">
        <v>7513</v>
      </c>
      <c r="C87" s="56">
        <v>6397</v>
      </c>
      <c r="D87" s="57">
        <f t="shared" si="2"/>
        <v>0.85145747371223213</v>
      </c>
      <c r="E87" s="51" t="s">
        <v>65</v>
      </c>
    </row>
    <row r="88" spans="1:5" x14ac:dyDescent="0.3">
      <c r="A88" s="55" t="s">
        <v>31</v>
      </c>
      <c r="B88" s="56">
        <v>648</v>
      </c>
      <c r="C88" s="56">
        <v>566</v>
      </c>
      <c r="D88" s="57">
        <f t="shared" si="2"/>
        <v>0.87345679012345678</v>
      </c>
      <c r="E88" s="51" t="s">
        <v>65</v>
      </c>
    </row>
    <row r="89" spans="1:5" x14ac:dyDescent="0.3">
      <c r="A89" s="55" t="s">
        <v>32</v>
      </c>
      <c r="B89" s="56">
        <v>30</v>
      </c>
      <c r="C89" s="56">
        <v>14</v>
      </c>
      <c r="D89" s="57">
        <f t="shared" si="2"/>
        <v>0.46666666666666667</v>
      </c>
      <c r="E89" s="51" t="s">
        <v>65</v>
      </c>
    </row>
    <row r="90" spans="1:5" x14ac:dyDescent="0.3">
      <c r="A90" s="55" t="s">
        <v>33</v>
      </c>
      <c r="B90" s="56">
        <v>690</v>
      </c>
      <c r="C90" s="56">
        <v>642</v>
      </c>
      <c r="D90" s="57">
        <f t="shared" si="2"/>
        <v>0.93043478260869561</v>
      </c>
      <c r="E90" s="51" t="s">
        <v>65</v>
      </c>
    </row>
    <row r="91" spans="1:5" x14ac:dyDescent="0.3">
      <c r="A91" s="55" t="s">
        <v>57</v>
      </c>
      <c r="B91" s="56">
        <v>176</v>
      </c>
      <c r="C91" s="56">
        <v>153</v>
      </c>
      <c r="D91" s="57">
        <f t="shared" si="2"/>
        <v>0.86931818181818177</v>
      </c>
      <c r="E91" s="51" t="s">
        <v>65</v>
      </c>
    </row>
    <row r="92" spans="1:5" x14ac:dyDescent="0.3">
      <c r="A92" s="55" t="s">
        <v>63</v>
      </c>
      <c r="B92" s="56">
        <v>108</v>
      </c>
      <c r="C92" s="56">
        <v>88</v>
      </c>
      <c r="D92" s="57">
        <f t="shared" si="2"/>
        <v>0.81481481481481477</v>
      </c>
      <c r="E92" s="51" t="s">
        <v>65</v>
      </c>
    </row>
    <row r="93" spans="1:5" x14ac:dyDescent="0.3">
      <c r="A93" s="55" t="s">
        <v>58</v>
      </c>
      <c r="B93" s="56">
        <v>113</v>
      </c>
      <c r="C93" s="56">
        <v>68</v>
      </c>
      <c r="D93" s="57">
        <f t="shared" si="2"/>
        <v>0.60176991150442483</v>
      </c>
      <c r="E93" s="51" t="s">
        <v>65</v>
      </c>
    </row>
    <row r="94" spans="1:5" x14ac:dyDescent="0.3">
      <c r="A94" s="55" t="s">
        <v>35</v>
      </c>
      <c r="B94" s="56">
        <v>1494</v>
      </c>
      <c r="C94" s="56">
        <v>1296</v>
      </c>
      <c r="D94" s="57">
        <f t="shared" si="2"/>
        <v>0.86746987951807231</v>
      </c>
      <c r="E94" s="51" t="s">
        <v>65</v>
      </c>
    </row>
    <row r="95" spans="1:5" x14ac:dyDescent="0.3">
      <c r="A95" s="55" t="s">
        <v>36</v>
      </c>
      <c r="B95" s="56">
        <v>1124</v>
      </c>
      <c r="C95" s="56">
        <v>968</v>
      </c>
      <c r="D95" s="57">
        <f t="shared" si="2"/>
        <v>0.86120996441281139</v>
      </c>
      <c r="E95" s="51" t="s">
        <v>65</v>
      </c>
    </row>
    <row r="96" spans="1:5" x14ac:dyDescent="0.3">
      <c r="A96" s="55" t="s">
        <v>64</v>
      </c>
      <c r="B96" s="56">
        <v>1347</v>
      </c>
      <c r="C96" s="56">
        <v>1165</v>
      </c>
      <c r="D96" s="57">
        <f t="shared" si="2"/>
        <v>0.86488492947290274</v>
      </c>
      <c r="E96" s="51" t="s">
        <v>65</v>
      </c>
    </row>
    <row r="97" spans="1:5" x14ac:dyDescent="0.3">
      <c r="A97" s="55" t="s">
        <v>59</v>
      </c>
      <c r="B97" s="56">
        <v>431</v>
      </c>
      <c r="C97" s="56">
        <v>362</v>
      </c>
      <c r="D97" s="57">
        <f t="shared" si="2"/>
        <v>0.83990719257540603</v>
      </c>
      <c r="E97" s="51" t="s">
        <v>65</v>
      </c>
    </row>
    <row r="98" spans="1:5" x14ac:dyDescent="0.3">
      <c r="A98" s="55" t="s">
        <v>60</v>
      </c>
      <c r="B98" s="56">
        <v>579</v>
      </c>
      <c r="C98" s="56">
        <v>423</v>
      </c>
      <c r="D98" s="57">
        <f t="shared" si="2"/>
        <v>0.73056994818652854</v>
      </c>
      <c r="E98" s="51" t="s">
        <v>65</v>
      </c>
    </row>
    <row r="99" spans="1:5" x14ac:dyDescent="0.3">
      <c r="A99" s="55" t="s">
        <v>37</v>
      </c>
      <c r="B99" s="56">
        <v>724</v>
      </c>
      <c r="C99" s="56">
        <v>612</v>
      </c>
      <c r="D99" s="57">
        <f t="shared" si="2"/>
        <v>0.84530386740331487</v>
      </c>
      <c r="E99" s="51" t="s">
        <v>65</v>
      </c>
    </row>
    <row r="100" spans="1:5" x14ac:dyDescent="0.3">
      <c r="A100" s="55" t="s">
        <v>61</v>
      </c>
      <c r="B100" s="56">
        <v>43</v>
      </c>
      <c r="C100" s="56">
        <v>37</v>
      </c>
      <c r="D100" s="57">
        <f t="shared" si="2"/>
        <v>0.86046511627906974</v>
      </c>
      <c r="E100" s="51" t="s">
        <v>65</v>
      </c>
    </row>
    <row r="101" spans="1:5" x14ac:dyDescent="0.3">
      <c r="A101" s="55" t="s">
        <v>62</v>
      </c>
      <c r="B101" s="56">
        <v>6</v>
      </c>
      <c r="C101" s="56">
        <v>3</v>
      </c>
      <c r="D101" s="57">
        <f t="shared" si="2"/>
        <v>0.5</v>
      </c>
      <c r="E101" s="51" t="s">
        <v>65</v>
      </c>
    </row>
    <row r="102" spans="1:5" x14ac:dyDescent="0.3">
      <c r="A102" s="55" t="s">
        <v>30</v>
      </c>
      <c r="B102" s="56">
        <v>7396</v>
      </c>
      <c r="C102" s="56">
        <v>6153</v>
      </c>
      <c r="D102" s="57">
        <f t="shared" si="2"/>
        <v>0.83193618171984862</v>
      </c>
      <c r="E102" s="51" t="s">
        <v>66</v>
      </c>
    </row>
    <row r="103" spans="1:5" x14ac:dyDescent="0.3">
      <c r="A103" s="55" t="s">
        <v>31</v>
      </c>
      <c r="B103" s="56">
        <v>562</v>
      </c>
      <c r="C103" s="56">
        <v>450</v>
      </c>
      <c r="D103" s="57">
        <f t="shared" si="2"/>
        <v>0.80071174377224197</v>
      </c>
      <c r="E103" s="51" t="s">
        <v>66</v>
      </c>
    </row>
    <row r="104" spans="1:5" x14ac:dyDescent="0.3">
      <c r="A104" s="55" t="s">
        <v>32</v>
      </c>
      <c r="B104" s="56">
        <v>28</v>
      </c>
      <c r="C104" s="56">
        <v>14</v>
      </c>
      <c r="D104" s="57">
        <f t="shared" si="2"/>
        <v>0.5</v>
      </c>
      <c r="E104" s="51" t="s">
        <v>66</v>
      </c>
    </row>
    <row r="105" spans="1:5" x14ac:dyDescent="0.3">
      <c r="A105" s="55" t="s">
        <v>33</v>
      </c>
      <c r="B105" s="56">
        <v>658</v>
      </c>
      <c r="C105" s="56">
        <v>612</v>
      </c>
      <c r="D105" s="57">
        <f t="shared" si="2"/>
        <v>0.93009118541033431</v>
      </c>
      <c r="E105" s="51" t="s">
        <v>66</v>
      </c>
    </row>
    <row r="106" spans="1:5" x14ac:dyDescent="0.3">
      <c r="A106" s="55" t="s">
        <v>57</v>
      </c>
      <c r="B106" s="56">
        <v>39</v>
      </c>
      <c r="C106" s="56">
        <v>29</v>
      </c>
      <c r="D106" s="57">
        <f t="shared" si="2"/>
        <v>0.74358974358974361</v>
      </c>
      <c r="E106" s="51" t="s">
        <v>66</v>
      </c>
    </row>
    <row r="107" spans="1:5" x14ac:dyDescent="0.3">
      <c r="A107" s="55" t="s">
        <v>63</v>
      </c>
      <c r="B107" s="56">
        <v>65</v>
      </c>
      <c r="C107" s="56">
        <v>45</v>
      </c>
      <c r="D107" s="57">
        <f t="shared" si="2"/>
        <v>0.69230769230769229</v>
      </c>
      <c r="E107" s="51" t="s">
        <v>66</v>
      </c>
    </row>
    <row r="108" spans="1:5" x14ac:dyDescent="0.3">
      <c r="A108" s="55" t="s">
        <v>58</v>
      </c>
      <c r="B108" s="56">
        <v>122</v>
      </c>
      <c r="C108" s="56">
        <v>64</v>
      </c>
      <c r="D108" s="57">
        <f t="shared" si="2"/>
        <v>0.52459016393442626</v>
      </c>
      <c r="E108" s="51" t="s">
        <v>66</v>
      </c>
    </row>
    <row r="109" spans="1:5" x14ac:dyDescent="0.3">
      <c r="A109" s="55" t="s">
        <v>35</v>
      </c>
      <c r="B109" s="56">
        <v>1642</v>
      </c>
      <c r="C109" s="56">
        <v>1402</v>
      </c>
      <c r="D109" s="57">
        <f t="shared" si="2"/>
        <v>0.85383678440925703</v>
      </c>
      <c r="E109" s="51" t="s">
        <v>66</v>
      </c>
    </row>
    <row r="110" spans="1:5" x14ac:dyDescent="0.3">
      <c r="A110" s="55" t="s">
        <v>36</v>
      </c>
      <c r="B110" s="56">
        <v>1308</v>
      </c>
      <c r="C110" s="56">
        <v>1137</v>
      </c>
      <c r="D110" s="57">
        <f t="shared" si="2"/>
        <v>0.86926605504587151</v>
      </c>
      <c r="E110" s="51" t="s">
        <v>66</v>
      </c>
    </row>
    <row r="111" spans="1:5" x14ac:dyDescent="0.3">
      <c r="A111" s="55" t="s">
        <v>64</v>
      </c>
      <c r="B111" s="56">
        <v>1590</v>
      </c>
      <c r="C111" s="56">
        <v>1381</v>
      </c>
      <c r="D111" s="57">
        <f t="shared" si="2"/>
        <v>0.86855345911949688</v>
      </c>
      <c r="E111" s="51" t="s">
        <v>66</v>
      </c>
    </row>
    <row r="112" spans="1:5" x14ac:dyDescent="0.3">
      <c r="A112" s="55" t="s">
        <v>59</v>
      </c>
      <c r="B112" s="56">
        <v>248</v>
      </c>
      <c r="C112" s="56">
        <v>196</v>
      </c>
      <c r="D112" s="57">
        <f t="shared" si="2"/>
        <v>0.79032258064516125</v>
      </c>
      <c r="E112" s="51" t="s">
        <v>66</v>
      </c>
    </row>
    <row r="113" spans="1:5" x14ac:dyDescent="0.3">
      <c r="A113" s="55" t="s">
        <v>60</v>
      </c>
      <c r="B113" s="56">
        <v>600</v>
      </c>
      <c r="C113" s="56">
        <v>370</v>
      </c>
      <c r="D113" s="57">
        <f t="shared" si="2"/>
        <v>0.6166666666666667</v>
      </c>
      <c r="E113" s="51" t="s">
        <v>66</v>
      </c>
    </row>
    <row r="114" spans="1:5" x14ac:dyDescent="0.3">
      <c r="A114" s="55" t="s">
        <v>37</v>
      </c>
      <c r="B114" s="56">
        <v>506</v>
      </c>
      <c r="C114" s="56">
        <v>433</v>
      </c>
      <c r="D114" s="57">
        <f t="shared" si="2"/>
        <v>0.85573122529644263</v>
      </c>
      <c r="E114" s="51" t="s">
        <v>66</v>
      </c>
    </row>
    <row r="115" spans="1:5" x14ac:dyDescent="0.3">
      <c r="A115" s="55" t="s">
        <v>61</v>
      </c>
      <c r="B115" s="56">
        <v>28</v>
      </c>
      <c r="C115" s="56">
        <v>20</v>
      </c>
      <c r="D115" s="57">
        <f t="shared" si="2"/>
        <v>0.7142857142857143</v>
      </c>
      <c r="E115" s="51" t="s">
        <v>66</v>
      </c>
    </row>
    <row r="116" spans="1:5" x14ac:dyDescent="0.3">
      <c r="A116" s="55" t="s">
        <v>30</v>
      </c>
      <c r="B116" s="56">
        <v>7933</v>
      </c>
      <c r="C116" s="56">
        <v>6628</v>
      </c>
      <c r="D116" s="57">
        <f t="shared" si="2"/>
        <v>0.83549728980209248</v>
      </c>
      <c r="E116" s="51" t="s">
        <v>67</v>
      </c>
    </row>
    <row r="117" spans="1:5" x14ac:dyDescent="0.3">
      <c r="A117" s="55" t="s">
        <v>31</v>
      </c>
      <c r="B117" s="56">
        <v>696</v>
      </c>
      <c r="C117" s="56">
        <v>561</v>
      </c>
      <c r="D117" s="57">
        <f t="shared" si="2"/>
        <v>0.80603448275862066</v>
      </c>
      <c r="E117" s="51" t="s">
        <v>67</v>
      </c>
    </row>
    <row r="118" spans="1:5" x14ac:dyDescent="0.3">
      <c r="A118" s="55" t="s">
        <v>32</v>
      </c>
      <c r="B118" s="56">
        <v>27</v>
      </c>
      <c r="C118" s="56">
        <v>11</v>
      </c>
      <c r="D118" s="57">
        <f t="shared" si="2"/>
        <v>0.40740740740740738</v>
      </c>
      <c r="E118" s="51" t="s">
        <v>67</v>
      </c>
    </row>
    <row r="119" spans="1:5" x14ac:dyDescent="0.3">
      <c r="A119" s="55" t="s">
        <v>33</v>
      </c>
      <c r="B119" s="56">
        <v>903</v>
      </c>
      <c r="C119" s="56">
        <v>829</v>
      </c>
      <c r="D119" s="57">
        <f t="shared" si="2"/>
        <v>0.91805094130675524</v>
      </c>
      <c r="E119" s="51" t="s">
        <v>67</v>
      </c>
    </row>
    <row r="120" spans="1:5" x14ac:dyDescent="0.3">
      <c r="A120" s="55" t="s">
        <v>57</v>
      </c>
      <c r="B120" s="56">
        <v>28</v>
      </c>
      <c r="C120" s="56">
        <v>20</v>
      </c>
      <c r="D120" s="57">
        <f t="shared" si="2"/>
        <v>0.7142857142857143</v>
      </c>
      <c r="E120" s="51" t="s">
        <v>67</v>
      </c>
    </row>
    <row r="121" spans="1:5" x14ac:dyDescent="0.3">
      <c r="A121" s="55" t="s">
        <v>63</v>
      </c>
      <c r="B121" s="56">
        <v>40</v>
      </c>
      <c r="C121" s="56">
        <v>30</v>
      </c>
      <c r="D121" s="57">
        <f t="shared" si="2"/>
        <v>0.75</v>
      </c>
      <c r="E121" s="51" t="s">
        <v>67</v>
      </c>
    </row>
    <row r="122" spans="1:5" x14ac:dyDescent="0.3">
      <c r="A122" s="55" t="s">
        <v>58</v>
      </c>
      <c r="B122" s="56">
        <v>109</v>
      </c>
      <c r="C122" s="56">
        <v>67</v>
      </c>
      <c r="D122" s="57">
        <f t="shared" si="2"/>
        <v>0.61467889908256879</v>
      </c>
      <c r="E122" s="51" t="s">
        <v>67</v>
      </c>
    </row>
    <row r="123" spans="1:5" x14ac:dyDescent="0.3">
      <c r="A123" s="55" t="s">
        <v>35</v>
      </c>
      <c r="B123" s="56">
        <v>1667</v>
      </c>
      <c r="C123" s="56">
        <v>1426</v>
      </c>
      <c r="D123" s="57">
        <f t="shared" si="2"/>
        <v>0.85542891421715661</v>
      </c>
      <c r="E123" s="51" t="s">
        <v>67</v>
      </c>
    </row>
    <row r="124" spans="1:5" x14ac:dyDescent="0.3">
      <c r="A124" s="55" t="s">
        <v>36</v>
      </c>
      <c r="B124" s="56">
        <v>1436</v>
      </c>
      <c r="C124" s="56">
        <v>1264</v>
      </c>
      <c r="D124" s="57">
        <f t="shared" si="2"/>
        <v>0.88022284122562677</v>
      </c>
      <c r="E124" s="51" t="s">
        <v>67</v>
      </c>
    </row>
    <row r="125" spans="1:5" x14ac:dyDescent="0.3">
      <c r="A125" s="55" t="s">
        <v>64</v>
      </c>
      <c r="B125" s="56">
        <v>1435</v>
      </c>
      <c r="C125" s="56">
        <v>1228</v>
      </c>
      <c r="D125" s="57">
        <f t="shared" si="2"/>
        <v>0.85574912891986066</v>
      </c>
      <c r="E125" s="51" t="s">
        <v>67</v>
      </c>
    </row>
    <row r="126" spans="1:5" x14ac:dyDescent="0.3">
      <c r="A126" s="55" t="s">
        <v>59</v>
      </c>
      <c r="B126" s="56">
        <v>444</v>
      </c>
      <c r="C126" s="56">
        <v>334</v>
      </c>
      <c r="D126" s="57">
        <f t="shared" si="2"/>
        <v>0.75225225225225223</v>
      </c>
      <c r="E126" s="51" t="s">
        <v>67</v>
      </c>
    </row>
    <row r="127" spans="1:5" x14ac:dyDescent="0.3">
      <c r="A127" s="55" t="s">
        <v>60</v>
      </c>
      <c r="B127" s="56">
        <v>659</v>
      </c>
      <c r="C127" s="56">
        <v>448</v>
      </c>
      <c r="D127" s="57">
        <f t="shared" si="2"/>
        <v>0.67981790591805769</v>
      </c>
      <c r="E127" s="51" t="s">
        <v>67</v>
      </c>
    </row>
    <row r="128" spans="1:5" x14ac:dyDescent="0.3">
      <c r="A128" s="55" t="s">
        <v>37</v>
      </c>
      <c r="B128" s="56">
        <v>386</v>
      </c>
      <c r="C128" s="56">
        <v>321</v>
      </c>
      <c r="D128" s="57">
        <f t="shared" si="2"/>
        <v>0.83160621761658027</v>
      </c>
      <c r="E128" s="51" t="s">
        <v>67</v>
      </c>
    </row>
    <row r="129" spans="1:5" x14ac:dyDescent="0.3">
      <c r="A129" s="55" t="s">
        <v>61</v>
      </c>
      <c r="B129" s="56">
        <v>27</v>
      </c>
      <c r="C129" s="56">
        <v>23</v>
      </c>
      <c r="D129" s="57">
        <f t="shared" si="2"/>
        <v>0.85185185185185186</v>
      </c>
      <c r="E129" s="51" t="s">
        <v>67</v>
      </c>
    </row>
    <row r="130" spans="1:5" x14ac:dyDescent="0.3">
      <c r="A130" s="55" t="s">
        <v>62</v>
      </c>
      <c r="B130" s="56">
        <v>76</v>
      </c>
      <c r="C130" s="56">
        <v>66</v>
      </c>
      <c r="D130" s="57">
        <f t="shared" si="2"/>
        <v>0.86842105263157898</v>
      </c>
      <c r="E130" s="51" t="s">
        <v>67</v>
      </c>
    </row>
    <row r="131" spans="1:5" x14ac:dyDescent="0.3">
      <c r="A131" s="55" t="s">
        <v>30</v>
      </c>
      <c r="B131" s="56">
        <v>7834</v>
      </c>
      <c r="C131" s="56">
        <v>6499</v>
      </c>
      <c r="D131" s="57">
        <f t="shared" si="2"/>
        <v>0.82958897115139141</v>
      </c>
      <c r="E131" s="51" t="s">
        <v>71</v>
      </c>
    </row>
    <row r="132" spans="1:5" x14ac:dyDescent="0.3">
      <c r="A132" s="55" t="s">
        <v>31</v>
      </c>
      <c r="B132" s="56">
        <v>600</v>
      </c>
      <c r="C132" s="56">
        <v>474</v>
      </c>
      <c r="D132" s="57">
        <f t="shared" si="2"/>
        <v>0.79</v>
      </c>
      <c r="E132" s="51" t="s">
        <v>71</v>
      </c>
    </row>
    <row r="133" spans="1:5" x14ac:dyDescent="0.3">
      <c r="A133" s="55" t="s">
        <v>32</v>
      </c>
      <c r="B133" s="56">
        <v>44</v>
      </c>
      <c r="C133" s="56">
        <v>13</v>
      </c>
      <c r="D133" s="57">
        <f t="shared" si="2"/>
        <v>0.29545454545454547</v>
      </c>
      <c r="E133" s="51" t="s">
        <v>71</v>
      </c>
    </row>
    <row r="134" spans="1:5" x14ac:dyDescent="0.3">
      <c r="A134" s="55" t="s">
        <v>33</v>
      </c>
      <c r="B134" s="56">
        <v>1014</v>
      </c>
      <c r="C134" s="56">
        <v>944</v>
      </c>
      <c r="D134" s="57">
        <f t="shared" si="2"/>
        <v>0.93096646942800787</v>
      </c>
      <c r="E134" s="51" t="s">
        <v>71</v>
      </c>
    </row>
    <row r="135" spans="1:5" x14ac:dyDescent="0.3">
      <c r="A135" s="55" t="s">
        <v>57</v>
      </c>
      <c r="B135" s="56">
        <v>6</v>
      </c>
      <c r="C135" s="56">
        <v>5</v>
      </c>
      <c r="D135" s="57">
        <f t="shared" si="2"/>
        <v>0.83333333333333337</v>
      </c>
      <c r="E135" s="51" t="s">
        <v>71</v>
      </c>
    </row>
    <row r="136" spans="1:5" x14ac:dyDescent="0.3">
      <c r="A136" s="55" t="s">
        <v>63</v>
      </c>
      <c r="B136" s="56">
        <v>5</v>
      </c>
      <c r="C136" s="56">
        <v>4</v>
      </c>
      <c r="D136" s="57">
        <f t="shared" si="2"/>
        <v>0.8</v>
      </c>
      <c r="E136" s="51" t="s">
        <v>71</v>
      </c>
    </row>
    <row r="137" spans="1:5" x14ac:dyDescent="0.3">
      <c r="A137" s="55" t="s">
        <v>58</v>
      </c>
      <c r="B137" s="56">
        <v>101</v>
      </c>
      <c r="C137" s="56">
        <v>59</v>
      </c>
      <c r="D137" s="57">
        <f t="shared" si="2"/>
        <v>0.58415841584158412</v>
      </c>
      <c r="E137" s="51" t="s">
        <v>71</v>
      </c>
    </row>
    <row r="138" spans="1:5" x14ac:dyDescent="0.3">
      <c r="A138" s="55" t="s">
        <v>35</v>
      </c>
      <c r="B138" s="56">
        <v>1724</v>
      </c>
      <c r="C138" s="56">
        <v>1456</v>
      </c>
      <c r="D138" s="57">
        <f t="shared" si="2"/>
        <v>0.84454756380510443</v>
      </c>
      <c r="E138" s="51" t="s">
        <v>71</v>
      </c>
    </row>
    <row r="139" spans="1:5" x14ac:dyDescent="0.3">
      <c r="A139" s="55" t="s">
        <v>36</v>
      </c>
      <c r="B139" s="56">
        <v>1394</v>
      </c>
      <c r="C139" s="56">
        <v>1220</v>
      </c>
      <c r="D139" s="57">
        <f t="shared" ref="D139:D175" si="3">SUM(C139/B139)</f>
        <v>0.87517934002869435</v>
      </c>
      <c r="E139" s="51" t="s">
        <v>71</v>
      </c>
    </row>
    <row r="140" spans="1:5" x14ac:dyDescent="0.3">
      <c r="A140" s="55" t="s">
        <v>64</v>
      </c>
      <c r="B140" s="56">
        <v>1185</v>
      </c>
      <c r="C140" s="56">
        <v>998</v>
      </c>
      <c r="D140" s="57">
        <f t="shared" si="3"/>
        <v>0.84219409282700419</v>
      </c>
      <c r="E140" s="51" t="s">
        <v>71</v>
      </c>
    </row>
    <row r="141" spans="1:5" x14ac:dyDescent="0.3">
      <c r="A141" s="55" t="s">
        <v>69</v>
      </c>
      <c r="B141" s="56">
        <v>38</v>
      </c>
      <c r="C141" s="56">
        <v>32</v>
      </c>
      <c r="D141" s="57">
        <f t="shared" si="3"/>
        <v>0.84210526315789469</v>
      </c>
      <c r="E141" s="51" t="s">
        <v>71</v>
      </c>
    </row>
    <row r="142" spans="1:5" x14ac:dyDescent="0.3">
      <c r="A142" s="55" t="s">
        <v>59</v>
      </c>
      <c r="B142" s="56">
        <v>272</v>
      </c>
      <c r="C142" s="56">
        <v>216</v>
      </c>
      <c r="D142" s="57">
        <f t="shared" si="3"/>
        <v>0.79411764705882348</v>
      </c>
      <c r="E142" s="51" t="s">
        <v>71</v>
      </c>
    </row>
    <row r="143" spans="1:5" x14ac:dyDescent="0.3">
      <c r="A143" s="55" t="s">
        <v>60</v>
      </c>
      <c r="B143" s="56">
        <v>682</v>
      </c>
      <c r="C143" s="56">
        <v>432</v>
      </c>
      <c r="D143" s="57">
        <f t="shared" si="3"/>
        <v>0.63343108504398826</v>
      </c>
      <c r="E143" s="51" t="s">
        <v>71</v>
      </c>
    </row>
    <row r="144" spans="1:5" x14ac:dyDescent="0.3">
      <c r="A144" s="55" t="s">
        <v>37</v>
      </c>
      <c r="B144" s="56">
        <v>282</v>
      </c>
      <c r="C144" s="56">
        <v>234</v>
      </c>
      <c r="D144" s="57">
        <f t="shared" si="3"/>
        <v>0.82978723404255317</v>
      </c>
      <c r="E144" s="51" t="s">
        <v>71</v>
      </c>
    </row>
    <row r="145" spans="1:5" x14ac:dyDescent="0.3">
      <c r="A145" s="55" t="s">
        <v>61</v>
      </c>
      <c r="B145" s="56">
        <v>60</v>
      </c>
      <c r="C145" s="56">
        <v>60</v>
      </c>
      <c r="D145" s="57">
        <f t="shared" si="3"/>
        <v>1</v>
      </c>
      <c r="E145" s="51" t="s">
        <v>71</v>
      </c>
    </row>
    <row r="146" spans="1:5" x14ac:dyDescent="0.3">
      <c r="A146" s="55" t="s">
        <v>62</v>
      </c>
      <c r="B146" s="56">
        <v>427</v>
      </c>
      <c r="C146" s="56">
        <v>352</v>
      </c>
      <c r="D146" s="57">
        <f t="shared" si="3"/>
        <v>0.82435597189695553</v>
      </c>
      <c r="E146" s="51" t="s">
        <v>71</v>
      </c>
    </row>
    <row r="147" spans="1:5" x14ac:dyDescent="0.3">
      <c r="A147" s="55" t="s">
        <v>30</v>
      </c>
      <c r="B147" s="56">
        <v>5894</v>
      </c>
      <c r="C147" s="56">
        <v>4932</v>
      </c>
      <c r="D147" s="57">
        <f t="shared" si="3"/>
        <v>0.83678316932473706</v>
      </c>
      <c r="E147" s="51" t="s">
        <v>68</v>
      </c>
    </row>
    <row r="148" spans="1:5" x14ac:dyDescent="0.3">
      <c r="A148" s="55" t="s">
        <v>31</v>
      </c>
      <c r="B148" s="56">
        <v>448</v>
      </c>
      <c r="C148" s="56">
        <v>371</v>
      </c>
      <c r="D148" s="57">
        <f t="shared" si="3"/>
        <v>0.828125</v>
      </c>
      <c r="E148" s="51" t="s">
        <v>68</v>
      </c>
    </row>
    <row r="149" spans="1:5" x14ac:dyDescent="0.3">
      <c r="A149" s="55" t="s">
        <v>32</v>
      </c>
      <c r="B149" s="56">
        <v>23</v>
      </c>
      <c r="C149" s="56">
        <v>8</v>
      </c>
      <c r="D149" s="57">
        <f t="shared" si="3"/>
        <v>0.34782608695652173</v>
      </c>
      <c r="E149" s="51" t="s">
        <v>68</v>
      </c>
    </row>
    <row r="150" spans="1:5" x14ac:dyDescent="0.3">
      <c r="A150" s="55" t="s">
        <v>33</v>
      </c>
      <c r="B150" s="56">
        <v>586</v>
      </c>
      <c r="C150" s="56">
        <v>556</v>
      </c>
      <c r="D150" s="57">
        <f t="shared" si="3"/>
        <v>0.94880546075085326</v>
      </c>
      <c r="E150" s="51" t="s">
        <v>68</v>
      </c>
    </row>
    <row r="151" spans="1:5" x14ac:dyDescent="0.3">
      <c r="A151" s="55" t="s">
        <v>57</v>
      </c>
      <c r="B151" s="56">
        <v>46</v>
      </c>
      <c r="C151" s="56">
        <v>39</v>
      </c>
      <c r="D151" s="57">
        <f t="shared" si="3"/>
        <v>0.84782608695652173</v>
      </c>
      <c r="E151" s="51" t="s">
        <v>68</v>
      </c>
    </row>
    <row r="152" spans="1:5" x14ac:dyDescent="0.3">
      <c r="A152" s="55" t="s">
        <v>58</v>
      </c>
      <c r="B152" s="56">
        <v>125</v>
      </c>
      <c r="C152" s="56">
        <v>81</v>
      </c>
      <c r="D152" s="57">
        <f t="shared" si="3"/>
        <v>0.64800000000000002</v>
      </c>
      <c r="E152" s="51" t="s">
        <v>68</v>
      </c>
    </row>
    <row r="153" spans="1:5" x14ac:dyDescent="0.3">
      <c r="A153" s="55" t="s">
        <v>35</v>
      </c>
      <c r="B153" s="56">
        <v>1486</v>
      </c>
      <c r="C153" s="56">
        <v>1291</v>
      </c>
      <c r="D153" s="57">
        <f t="shared" si="3"/>
        <v>0.8687752355316285</v>
      </c>
      <c r="E153" s="51" t="s">
        <v>68</v>
      </c>
    </row>
    <row r="154" spans="1:5" x14ac:dyDescent="0.3">
      <c r="A154" s="55" t="s">
        <v>36</v>
      </c>
      <c r="B154" s="56">
        <v>916</v>
      </c>
      <c r="C154" s="56">
        <v>797</v>
      </c>
      <c r="D154" s="57">
        <f t="shared" si="3"/>
        <v>0.87008733624454149</v>
      </c>
      <c r="E154" s="51" t="s">
        <v>68</v>
      </c>
    </row>
    <row r="155" spans="1:5" x14ac:dyDescent="0.3">
      <c r="A155" s="55" t="s">
        <v>64</v>
      </c>
      <c r="B155" s="56">
        <v>909</v>
      </c>
      <c r="C155" s="56">
        <v>791</v>
      </c>
      <c r="D155" s="57">
        <f t="shared" si="3"/>
        <v>0.87018701870187021</v>
      </c>
      <c r="E155" s="51" t="s">
        <v>68</v>
      </c>
    </row>
    <row r="156" spans="1:5" x14ac:dyDescent="0.3">
      <c r="A156" s="55" t="s">
        <v>59</v>
      </c>
      <c r="B156" s="56">
        <v>303</v>
      </c>
      <c r="C156" s="56">
        <v>250</v>
      </c>
      <c r="D156" s="57">
        <f t="shared" si="3"/>
        <v>0.82508250825082508</v>
      </c>
      <c r="E156" s="51" t="s">
        <v>68</v>
      </c>
    </row>
    <row r="157" spans="1:5" x14ac:dyDescent="0.3">
      <c r="A157" s="55" t="s">
        <v>60</v>
      </c>
      <c r="B157" s="56">
        <v>755</v>
      </c>
      <c r="C157" s="56">
        <v>489</v>
      </c>
      <c r="D157" s="57">
        <f t="shared" si="3"/>
        <v>0.64768211920529806</v>
      </c>
      <c r="E157" s="51" t="s">
        <v>68</v>
      </c>
    </row>
    <row r="158" spans="1:5" x14ac:dyDescent="0.3">
      <c r="A158" s="55" t="s">
        <v>37</v>
      </c>
      <c r="B158" s="56">
        <v>249</v>
      </c>
      <c r="C158" s="56">
        <v>217</v>
      </c>
      <c r="D158" s="57">
        <f t="shared" si="3"/>
        <v>0.87148594377510036</v>
      </c>
      <c r="E158" s="51" t="s">
        <v>68</v>
      </c>
    </row>
    <row r="159" spans="1:5" x14ac:dyDescent="0.3">
      <c r="A159" s="55" t="s">
        <v>61</v>
      </c>
      <c r="B159" s="56">
        <v>20</v>
      </c>
      <c r="C159" s="56">
        <v>20</v>
      </c>
      <c r="D159" s="57">
        <f t="shared" si="3"/>
        <v>1</v>
      </c>
      <c r="E159" s="51" t="s">
        <v>68</v>
      </c>
    </row>
    <row r="160" spans="1:5" x14ac:dyDescent="0.3">
      <c r="A160" s="55" t="s">
        <v>62</v>
      </c>
      <c r="B160" s="56">
        <v>28</v>
      </c>
      <c r="C160" s="56">
        <v>22</v>
      </c>
      <c r="D160" s="57">
        <f t="shared" si="3"/>
        <v>0.7857142857142857</v>
      </c>
      <c r="E160" s="51" t="s">
        <v>68</v>
      </c>
    </row>
    <row r="161" spans="1:5" x14ac:dyDescent="0.3">
      <c r="A161" s="55" t="s">
        <v>30</v>
      </c>
      <c r="B161" s="56">
        <v>7531</v>
      </c>
      <c r="C161" s="56">
        <v>6253</v>
      </c>
      <c r="D161" s="57">
        <f t="shared" si="3"/>
        <v>0.83030142079405123</v>
      </c>
      <c r="E161" s="51" t="s">
        <v>70</v>
      </c>
    </row>
    <row r="162" spans="1:5" x14ac:dyDescent="0.3">
      <c r="A162" s="55" t="s">
        <v>31</v>
      </c>
      <c r="B162" s="56">
        <v>637</v>
      </c>
      <c r="C162" s="56">
        <v>531</v>
      </c>
      <c r="D162" s="57">
        <f t="shared" si="3"/>
        <v>0.83359497645211933</v>
      </c>
      <c r="E162" s="51" t="s">
        <v>70</v>
      </c>
    </row>
    <row r="163" spans="1:5" x14ac:dyDescent="0.3">
      <c r="A163" s="55" t="s">
        <v>32</v>
      </c>
      <c r="B163" s="56">
        <v>32</v>
      </c>
      <c r="C163" s="56">
        <v>17</v>
      </c>
      <c r="D163" s="57">
        <f t="shared" si="3"/>
        <v>0.53125</v>
      </c>
      <c r="E163" s="51" t="s">
        <v>70</v>
      </c>
    </row>
    <row r="164" spans="1:5" x14ac:dyDescent="0.3">
      <c r="A164" s="55" t="s">
        <v>33</v>
      </c>
      <c r="B164" s="56">
        <v>976</v>
      </c>
      <c r="C164" s="56">
        <v>905</v>
      </c>
      <c r="D164" s="57">
        <f t="shared" si="3"/>
        <v>0.92725409836065575</v>
      </c>
      <c r="E164" s="51" t="s">
        <v>70</v>
      </c>
    </row>
    <row r="165" spans="1:5" x14ac:dyDescent="0.3">
      <c r="A165" s="55" t="s">
        <v>57</v>
      </c>
      <c r="B165" s="56">
        <v>11</v>
      </c>
      <c r="C165" s="56">
        <v>9</v>
      </c>
      <c r="D165" s="57">
        <f t="shared" si="3"/>
        <v>0.81818181818181823</v>
      </c>
      <c r="E165" s="51" t="s">
        <v>70</v>
      </c>
    </row>
    <row r="166" spans="1:5" x14ac:dyDescent="0.3">
      <c r="A166" s="55" t="s">
        <v>58</v>
      </c>
      <c r="B166" s="56">
        <v>110</v>
      </c>
      <c r="C166" s="56">
        <v>76</v>
      </c>
      <c r="D166" s="57">
        <f t="shared" si="3"/>
        <v>0.69090909090909092</v>
      </c>
      <c r="E166" s="51" t="s">
        <v>70</v>
      </c>
    </row>
    <row r="167" spans="1:5" x14ac:dyDescent="0.3">
      <c r="A167" s="55" t="s">
        <v>35</v>
      </c>
      <c r="B167" s="56">
        <v>1414</v>
      </c>
      <c r="C167" s="56">
        <v>1212</v>
      </c>
      <c r="D167" s="57">
        <f t="shared" si="3"/>
        <v>0.8571428571428571</v>
      </c>
      <c r="E167" s="51" t="s">
        <v>70</v>
      </c>
    </row>
    <row r="168" spans="1:5" x14ac:dyDescent="0.3">
      <c r="A168" s="55" t="s">
        <v>36</v>
      </c>
      <c r="B168" s="56">
        <v>1136</v>
      </c>
      <c r="C168" s="56">
        <v>966</v>
      </c>
      <c r="D168" s="57">
        <f t="shared" si="3"/>
        <v>0.85035211267605637</v>
      </c>
      <c r="E168" s="51" t="s">
        <v>70</v>
      </c>
    </row>
    <row r="169" spans="1:5" x14ac:dyDescent="0.3">
      <c r="A169" s="55" t="s">
        <v>64</v>
      </c>
      <c r="B169" s="56">
        <v>1595</v>
      </c>
      <c r="C169" s="56">
        <v>1376</v>
      </c>
      <c r="D169" s="57">
        <f t="shared" si="3"/>
        <v>0.86269592476489032</v>
      </c>
      <c r="E169" s="51" t="s">
        <v>70</v>
      </c>
    </row>
    <row r="170" spans="1:5" x14ac:dyDescent="0.3">
      <c r="A170" s="55" t="s">
        <v>69</v>
      </c>
      <c r="B170" s="56">
        <v>42</v>
      </c>
      <c r="C170" s="56">
        <v>29</v>
      </c>
      <c r="D170" s="57">
        <f t="shared" si="3"/>
        <v>0.69047619047619047</v>
      </c>
      <c r="E170" s="51" t="s">
        <v>70</v>
      </c>
    </row>
    <row r="171" spans="1:5" x14ac:dyDescent="0.3">
      <c r="A171" s="55" t="s">
        <v>59</v>
      </c>
      <c r="B171" s="56">
        <v>320</v>
      </c>
      <c r="C171" s="56">
        <v>257</v>
      </c>
      <c r="D171" s="57">
        <f t="shared" si="3"/>
        <v>0.80312499999999998</v>
      </c>
      <c r="E171" s="51" t="s">
        <v>70</v>
      </c>
    </row>
    <row r="172" spans="1:5" x14ac:dyDescent="0.3">
      <c r="A172" s="55" t="s">
        <v>60</v>
      </c>
      <c r="B172" s="56">
        <v>679</v>
      </c>
      <c r="C172" s="56">
        <v>410</v>
      </c>
      <c r="D172" s="57">
        <f t="shared" si="3"/>
        <v>0.60382916053019142</v>
      </c>
      <c r="E172" s="51" t="s">
        <v>70</v>
      </c>
    </row>
    <row r="173" spans="1:5" x14ac:dyDescent="0.3">
      <c r="A173" s="55" t="s">
        <v>37</v>
      </c>
      <c r="B173" s="56">
        <v>535</v>
      </c>
      <c r="C173" s="56">
        <v>429</v>
      </c>
      <c r="D173" s="57">
        <f t="shared" si="3"/>
        <v>0.80186915887850463</v>
      </c>
      <c r="E173" s="51" t="s">
        <v>70</v>
      </c>
    </row>
    <row r="174" spans="1:5" x14ac:dyDescent="0.3">
      <c r="A174" s="55" t="s">
        <v>61</v>
      </c>
      <c r="B174" s="56">
        <v>31</v>
      </c>
      <c r="C174" s="56">
        <v>25</v>
      </c>
      <c r="D174" s="57">
        <f t="shared" si="3"/>
        <v>0.80645161290322576</v>
      </c>
      <c r="E174" s="51" t="s">
        <v>70</v>
      </c>
    </row>
    <row r="175" spans="1:5" x14ac:dyDescent="0.3">
      <c r="A175" s="55" t="s">
        <v>62</v>
      </c>
      <c r="B175" s="56">
        <v>13</v>
      </c>
      <c r="C175" s="56">
        <v>11</v>
      </c>
      <c r="D175" s="57">
        <f t="shared" si="3"/>
        <v>0.84615384615384615</v>
      </c>
      <c r="E175" s="51" t="s">
        <v>70</v>
      </c>
    </row>
    <row r="176" spans="1:5" x14ac:dyDescent="0.3">
      <c r="A176" s="13" t="s">
        <v>62</v>
      </c>
      <c r="B176" s="13">
        <v>13</v>
      </c>
      <c r="C176" s="13">
        <v>9</v>
      </c>
      <c r="D176" s="57">
        <f>SUM(C176/B176)</f>
        <v>0.69230769230769229</v>
      </c>
      <c r="E176" s="59" t="s">
        <v>70</v>
      </c>
    </row>
    <row r="177" spans="1:5" x14ac:dyDescent="0.3">
      <c r="A177" s="55" t="s">
        <v>30</v>
      </c>
      <c r="B177" s="56">
        <v>7213</v>
      </c>
      <c r="C177" s="56">
        <v>5981</v>
      </c>
      <c r="D177" s="57">
        <f>SUM(C177/B177)</f>
        <v>0.82919728268404269</v>
      </c>
      <c r="E177" s="59" t="s">
        <v>72</v>
      </c>
    </row>
    <row r="178" spans="1:5" x14ac:dyDescent="0.3">
      <c r="A178" s="55" t="s">
        <v>31</v>
      </c>
      <c r="B178" s="56">
        <v>496</v>
      </c>
      <c r="C178" s="56">
        <v>408</v>
      </c>
      <c r="D178" s="57">
        <f t="shared" ref="D178:D242" si="4">SUM(C178/B178)</f>
        <v>0.82258064516129037</v>
      </c>
      <c r="E178" s="59" t="s">
        <v>72</v>
      </c>
    </row>
    <row r="179" spans="1:5" x14ac:dyDescent="0.3">
      <c r="A179" s="55" t="s">
        <v>32</v>
      </c>
      <c r="B179" s="56">
        <v>39</v>
      </c>
      <c r="C179" s="56">
        <v>22</v>
      </c>
      <c r="D179" s="57">
        <f t="shared" si="4"/>
        <v>0.5641025641025641</v>
      </c>
      <c r="E179" s="59" t="s">
        <v>72</v>
      </c>
    </row>
    <row r="180" spans="1:5" x14ac:dyDescent="0.3">
      <c r="A180" s="55" t="s">
        <v>33</v>
      </c>
      <c r="B180" s="56">
        <v>840</v>
      </c>
      <c r="C180" s="56">
        <v>791</v>
      </c>
      <c r="D180" s="57">
        <f t="shared" si="4"/>
        <v>0.94166666666666665</v>
      </c>
      <c r="E180" s="59" t="s">
        <v>72</v>
      </c>
    </row>
    <row r="181" spans="1:5" x14ac:dyDescent="0.3">
      <c r="A181" s="55" t="s">
        <v>57</v>
      </c>
      <c r="B181" s="56">
        <v>31</v>
      </c>
      <c r="C181" s="56">
        <v>29</v>
      </c>
      <c r="D181" s="57">
        <f t="shared" si="4"/>
        <v>0.93548387096774188</v>
      </c>
      <c r="E181" s="59" t="s">
        <v>72</v>
      </c>
    </row>
    <row r="182" spans="1:5" x14ac:dyDescent="0.3">
      <c r="A182" s="55" t="s">
        <v>58</v>
      </c>
      <c r="B182" s="56">
        <v>156</v>
      </c>
      <c r="C182" s="56">
        <v>107</v>
      </c>
      <c r="D182" s="57">
        <f t="shared" si="4"/>
        <v>0.6858974358974359</v>
      </c>
      <c r="E182" s="59" t="s">
        <v>72</v>
      </c>
    </row>
    <row r="183" spans="1:5" x14ac:dyDescent="0.3">
      <c r="A183" s="55" t="s">
        <v>35</v>
      </c>
      <c r="B183" s="56">
        <v>1627</v>
      </c>
      <c r="C183" s="56">
        <v>1411</v>
      </c>
      <c r="D183" s="57">
        <f t="shared" si="4"/>
        <v>0.86724031960663794</v>
      </c>
      <c r="E183" s="59" t="s">
        <v>72</v>
      </c>
    </row>
    <row r="184" spans="1:5" x14ac:dyDescent="0.3">
      <c r="A184" s="55" t="s">
        <v>36</v>
      </c>
      <c r="B184" s="56">
        <v>1043</v>
      </c>
      <c r="C184" s="56">
        <v>876</v>
      </c>
      <c r="D184" s="57">
        <f t="shared" si="4"/>
        <v>0.83988494726749763</v>
      </c>
      <c r="E184" s="59" t="s">
        <v>72</v>
      </c>
    </row>
    <row r="185" spans="1:5" x14ac:dyDescent="0.3">
      <c r="A185" s="55" t="s">
        <v>64</v>
      </c>
      <c r="B185" s="56">
        <v>1273</v>
      </c>
      <c r="C185" s="56">
        <v>1094</v>
      </c>
      <c r="D185" s="57">
        <f t="shared" si="4"/>
        <v>0.85938727415553806</v>
      </c>
      <c r="E185" s="59" t="s">
        <v>72</v>
      </c>
    </row>
    <row r="186" spans="1:5" x14ac:dyDescent="0.3">
      <c r="A186" s="55" t="s">
        <v>69</v>
      </c>
      <c r="B186" s="56">
        <v>3</v>
      </c>
      <c r="C186" s="56">
        <v>2</v>
      </c>
      <c r="D186" s="57">
        <f t="shared" si="4"/>
        <v>0.66666666666666663</v>
      </c>
      <c r="E186" s="59" t="s">
        <v>72</v>
      </c>
    </row>
    <row r="187" spans="1:5" x14ac:dyDescent="0.3">
      <c r="A187" s="55" t="s">
        <v>59</v>
      </c>
      <c r="B187" s="56">
        <v>397</v>
      </c>
      <c r="C187" s="56">
        <v>296</v>
      </c>
      <c r="D187" s="57">
        <f t="shared" si="4"/>
        <v>0.74559193954659952</v>
      </c>
      <c r="E187" s="59" t="s">
        <v>72</v>
      </c>
    </row>
    <row r="188" spans="1:5" x14ac:dyDescent="0.3">
      <c r="A188" s="55" t="s">
        <v>60</v>
      </c>
      <c r="B188" s="56">
        <v>696</v>
      </c>
      <c r="C188" s="56">
        <v>458</v>
      </c>
      <c r="D188" s="57">
        <f t="shared" si="4"/>
        <v>0.65804597701149425</v>
      </c>
      <c r="E188" s="59" t="s">
        <v>72</v>
      </c>
    </row>
    <row r="189" spans="1:5" x14ac:dyDescent="0.3">
      <c r="A189" s="55" t="s">
        <v>37</v>
      </c>
      <c r="B189" s="56">
        <v>591</v>
      </c>
      <c r="C189" s="56">
        <v>471</v>
      </c>
      <c r="D189" s="57">
        <f t="shared" si="4"/>
        <v>0.79695431472081213</v>
      </c>
      <c r="E189" s="59" t="s">
        <v>72</v>
      </c>
    </row>
    <row r="190" spans="1:5" x14ac:dyDescent="0.3">
      <c r="A190" s="55" t="s">
        <v>61</v>
      </c>
      <c r="B190" s="56">
        <v>21</v>
      </c>
      <c r="C190" s="56">
        <v>16</v>
      </c>
      <c r="D190" s="57">
        <f t="shared" si="4"/>
        <v>0.76190476190476186</v>
      </c>
      <c r="E190" s="59" t="s">
        <v>72</v>
      </c>
    </row>
    <row r="191" spans="1:5" x14ac:dyDescent="0.3">
      <c r="A191" s="55" t="s">
        <v>30</v>
      </c>
      <c r="B191" s="56">
        <v>7165</v>
      </c>
      <c r="C191" s="56">
        <v>5930</v>
      </c>
      <c r="D191" s="57">
        <f t="shared" si="4"/>
        <v>0.82763433356594562</v>
      </c>
      <c r="E191" s="59" t="s">
        <v>73</v>
      </c>
    </row>
    <row r="192" spans="1:5" x14ac:dyDescent="0.3">
      <c r="A192" s="55" t="s">
        <v>31</v>
      </c>
      <c r="B192" s="56">
        <v>589</v>
      </c>
      <c r="C192" s="56">
        <v>481</v>
      </c>
      <c r="D192" s="57">
        <f t="shared" si="4"/>
        <v>0.81663837011884555</v>
      </c>
      <c r="E192" s="59" t="s">
        <v>73</v>
      </c>
    </row>
    <row r="193" spans="1:9" x14ac:dyDescent="0.3">
      <c r="A193" s="55" t="s">
        <v>32</v>
      </c>
      <c r="B193" s="56">
        <v>48</v>
      </c>
      <c r="C193" s="56">
        <v>24</v>
      </c>
      <c r="D193" s="57">
        <f t="shared" si="4"/>
        <v>0.5</v>
      </c>
      <c r="E193" s="59" t="s">
        <v>73</v>
      </c>
    </row>
    <row r="194" spans="1:9" x14ac:dyDescent="0.3">
      <c r="A194" s="55" t="s">
        <v>33</v>
      </c>
      <c r="B194" s="56">
        <v>784</v>
      </c>
      <c r="C194" s="56">
        <v>733</v>
      </c>
      <c r="D194" s="57">
        <f t="shared" si="4"/>
        <v>0.93494897959183676</v>
      </c>
      <c r="E194" s="59" t="s">
        <v>73</v>
      </c>
    </row>
    <row r="195" spans="1:9" x14ac:dyDescent="0.3">
      <c r="A195" s="55" t="s">
        <v>57</v>
      </c>
      <c r="B195" s="56">
        <v>48</v>
      </c>
      <c r="C195" s="56">
        <v>43</v>
      </c>
      <c r="D195" s="57">
        <f t="shared" si="4"/>
        <v>0.89583333333333337</v>
      </c>
      <c r="E195" s="59" t="s">
        <v>73</v>
      </c>
    </row>
    <row r="196" spans="1:9" x14ac:dyDescent="0.3">
      <c r="A196" s="55" t="s">
        <v>63</v>
      </c>
      <c r="B196" s="56">
        <v>76</v>
      </c>
      <c r="C196" s="56">
        <v>67</v>
      </c>
      <c r="D196" s="57">
        <f t="shared" si="4"/>
        <v>0.88157894736842102</v>
      </c>
      <c r="E196" s="59" t="s">
        <v>73</v>
      </c>
    </row>
    <row r="197" spans="1:9" x14ac:dyDescent="0.3">
      <c r="A197" s="55" t="s">
        <v>58</v>
      </c>
      <c r="B197" s="56">
        <v>126</v>
      </c>
      <c r="C197" s="56">
        <v>76</v>
      </c>
      <c r="D197" s="57">
        <f t="shared" si="4"/>
        <v>0.60317460317460314</v>
      </c>
      <c r="E197" s="59" t="s">
        <v>73</v>
      </c>
    </row>
    <row r="198" spans="1:9" x14ac:dyDescent="0.3">
      <c r="A198" s="55" t="s">
        <v>35</v>
      </c>
      <c r="B198" s="56">
        <v>1530</v>
      </c>
      <c r="C198" s="56">
        <v>1283</v>
      </c>
      <c r="D198" s="57">
        <f t="shared" si="4"/>
        <v>0.83856209150326799</v>
      </c>
      <c r="E198" s="59" t="s">
        <v>73</v>
      </c>
    </row>
    <row r="199" spans="1:9" x14ac:dyDescent="0.3">
      <c r="A199" s="55" t="s">
        <v>36</v>
      </c>
      <c r="B199" s="56">
        <v>1209</v>
      </c>
      <c r="C199" s="56">
        <v>1045</v>
      </c>
      <c r="D199" s="57">
        <f t="shared" si="4"/>
        <v>0.86435070306038053</v>
      </c>
      <c r="E199" s="59" t="s">
        <v>73</v>
      </c>
    </row>
    <row r="200" spans="1:9" x14ac:dyDescent="0.3">
      <c r="A200" s="55" t="s">
        <v>64</v>
      </c>
      <c r="B200" s="56">
        <v>1237</v>
      </c>
      <c r="C200" s="56">
        <v>1054</v>
      </c>
      <c r="D200" s="57">
        <f t="shared" si="4"/>
        <v>0.85206143896523845</v>
      </c>
      <c r="E200" s="59" t="s">
        <v>73</v>
      </c>
    </row>
    <row r="201" spans="1:9" x14ac:dyDescent="0.3">
      <c r="A201" s="55" t="s">
        <v>59</v>
      </c>
      <c r="B201" s="56">
        <v>199</v>
      </c>
      <c r="C201" s="56">
        <v>139</v>
      </c>
      <c r="D201" s="57">
        <f t="shared" si="4"/>
        <v>0.69849246231155782</v>
      </c>
      <c r="E201" s="59" t="s">
        <v>73</v>
      </c>
    </row>
    <row r="202" spans="1:9" x14ac:dyDescent="0.3">
      <c r="A202" s="55" t="s">
        <v>60</v>
      </c>
      <c r="B202" s="56">
        <v>700</v>
      </c>
      <c r="C202" s="56">
        <v>458</v>
      </c>
      <c r="D202" s="57">
        <f t="shared" si="4"/>
        <v>0.65428571428571425</v>
      </c>
      <c r="E202" s="59" t="s">
        <v>73</v>
      </c>
    </row>
    <row r="203" spans="1:9" x14ac:dyDescent="0.3">
      <c r="A203" s="55" t="s">
        <v>37</v>
      </c>
      <c r="B203" s="56">
        <v>574</v>
      </c>
      <c r="C203" s="56">
        <v>493</v>
      </c>
      <c r="D203" s="57">
        <f t="shared" si="4"/>
        <v>0.85888501742160284</v>
      </c>
      <c r="E203" s="59" t="s">
        <v>73</v>
      </c>
    </row>
    <row r="204" spans="1:9" x14ac:dyDescent="0.3">
      <c r="A204" s="55" t="s">
        <v>61</v>
      </c>
      <c r="B204" s="56">
        <v>23</v>
      </c>
      <c r="C204" s="56">
        <v>16</v>
      </c>
      <c r="D204" s="57">
        <f t="shared" si="4"/>
        <v>0.69565217391304346</v>
      </c>
      <c r="E204" s="59" t="s">
        <v>73</v>
      </c>
    </row>
    <row r="205" spans="1:9" x14ac:dyDescent="0.3">
      <c r="A205" s="55" t="s">
        <v>62</v>
      </c>
      <c r="B205" s="56">
        <v>22</v>
      </c>
      <c r="C205" s="56">
        <v>18</v>
      </c>
      <c r="D205" s="57">
        <f t="shared" si="4"/>
        <v>0.81818181818181823</v>
      </c>
      <c r="E205" s="59" t="s">
        <v>73</v>
      </c>
    </row>
    <row r="206" spans="1:9" x14ac:dyDescent="0.3">
      <c r="A206" s="55" t="s">
        <v>30</v>
      </c>
      <c r="B206" s="56">
        <v>6205</v>
      </c>
      <c r="C206" s="56">
        <v>5165</v>
      </c>
      <c r="D206" s="57">
        <f t="shared" si="4"/>
        <v>0.83239323126510878</v>
      </c>
      <c r="E206" s="59" t="s">
        <v>74</v>
      </c>
      <c r="F206" s="55"/>
      <c r="G206" s="56"/>
      <c r="H206" s="56"/>
      <c r="I206" s="57"/>
    </row>
    <row r="207" spans="1:9" x14ac:dyDescent="0.3">
      <c r="A207" s="55" t="s">
        <v>31</v>
      </c>
      <c r="B207" s="56">
        <v>324</v>
      </c>
      <c r="C207" s="56">
        <v>277</v>
      </c>
      <c r="D207" s="57">
        <f t="shared" si="4"/>
        <v>0.85493827160493829</v>
      </c>
      <c r="E207" s="59" t="s">
        <v>74</v>
      </c>
    </row>
    <row r="208" spans="1:9" x14ac:dyDescent="0.3">
      <c r="A208" s="55" t="s">
        <v>32</v>
      </c>
      <c r="B208" s="56">
        <v>46</v>
      </c>
      <c r="C208" s="56">
        <v>27</v>
      </c>
      <c r="D208" s="57">
        <f t="shared" si="4"/>
        <v>0.58695652173913049</v>
      </c>
      <c r="E208" s="59" t="s">
        <v>74</v>
      </c>
    </row>
    <row r="209" spans="1:5" x14ac:dyDescent="0.3">
      <c r="A209" s="55" t="s">
        <v>33</v>
      </c>
      <c r="B209" s="56">
        <v>622</v>
      </c>
      <c r="C209" s="56">
        <v>577</v>
      </c>
      <c r="D209" s="57">
        <f t="shared" si="4"/>
        <v>0.92765273311897101</v>
      </c>
      <c r="E209" s="59" t="s">
        <v>74</v>
      </c>
    </row>
    <row r="210" spans="1:5" x14ac:dyDescent="0.3">
      <c r="A210" s="55" t="s">
        <v>57</v>
      </c>
      <c r="B210" s="56">
        <v>79</v>
      </c>
      <c r="C210" s="56">
        <v>67</v>
      </c>
      <c r="D210" s="57">
        <f t="shared" si="4"/>
        <v>0.84810126582278478</v>
      </c>
      <c r="E210" s="59" t="s">
        <v>74</v>
      </c>
    </row>
    <row r="211" spans="1:5" x14ac:dyDescent="0.3">
      <c r="A211" s="55" t="s">
        <v>58</v>
      </c>
      <c r="B211" s="56">
        <v>83</v>
      </c>
      <c r="C211" s="56">
        <v>51</v>
      </c>
      <c r="D211" s="57">
        <f t="shared" si="4"/>
        <v>0.61445783132530118</v>
      </c>
      <c r="E211" s="59" t="s">
        <v>74</v>
      </c>
    </row>
    <row r="212" spans="1:5" x14ac:dyDescent="0.3">
      <c r="A212" s="55" t="s">
        <v>35</v>
      </c>
      <c r="B212" s="56">
        <v>1429</v>
      </c>
      <c r="C212" s="56">
        <v>1203</v>
      </c>
      <c r="D212" s="57">
        <f t="shared" si="4"/>
        <v>0.84184744576627013</v>
      </c>
      <c r="E212" s="59" t="s">
        <v>74</v>
      </c>
    </row>
    <row r="213" spans="1:5" x14ac:dyDescent="0.3">
      <c r="A213" s="55" t="s">
        <v>36</v>
      </c>
      <c r="B213" s="56">
        <v>1033</v>
      </c>
      <c r="C213" s="56">
        <v>856</v>
      </c>
      <c r="D213" s="57">
        <f t="shared" si="4"/>
        <v>0.82865440464666018</v>
      </c>
      <c r="E213" s="59" t="s">
        <v>74</v>
      </c>
    </row>
    <row r="214" spans="1:5" x14ac:dyDescent="0.3">
      <c r="A214" s="55" t="s">
        <v>64</v>
      </c>
      <c r="B214" s="56">
        <v>1254</v>
      </c>
      <c r="C214" s="56">
        <v>1107</v>
      </c>
      <c r="D214" s="57">
        <f t="shared" si="4"/>
        <v>0.88277511961722488</v>
      </c>
      <c r="E214" s="59" t="s">
        <v>74</v>
      </c>
    </row>
    <row r="215" spans="1:5" x14ac:dyDescent="0.3">
      <c r="A215" s="55" t="s">
        <v>59</v>
      </c>
      <c r="B215" s="56">
        <v>160</v>
      </c>
      <c r="C215" s="56">
        <v>127</v>
      </c>
      <c r="D215" s="57">
        <f t="shared" si="4"/>
        <v>0.79374999999999996</v>
      </c>
      <c r="E215" s="59" t="s">
        <v>74</v>
      </c>
    </row>
    <row r="216" spans="1:5" x14ac:dyDescent="0.3">
      <c r="A216" s="55" t="s">
        <v>60</v>
      </c>
      <c r="B216" s="56">
        <v>692</v>
      </c>
      <c r="C216" s="56">
        <v>457</v>
      </c>
      <c r="D216" s="57">
        <f t="shared" si="4"/>
        <v>0.66040462427745661</v>
      </c>
      <c r="E216" s="59" t="s">
        <v>74</v>
      </c>
    </row>
    <row r="217" spans="1:5" x14ac:dyDescent="0.3">
      <c r="A217" s="55" t="s">
        <v>37</v>
      </c>
      <c r="B217" s="56">
        <v>449</v>
      </c>
      <c r="C217" s="56">
        <v>385</v>
      </c>
      <c r="D217" s="57">
        <f t="shared" si="4"/>
        <v>0.85746102449888639</v>
      </c>
      <c r="E217" s="59" t="s">
        <v>74</v>
      </c>
    </row>
    <row r="218" spans="1:5" x14ac:dyDescent="0.3">
      <c r="A218" s="55" t="s">
        <v>61</v>
      </c>
      <c r="B218" s="56">
        <v>34</v>
      </c>
      <c r="C218" s="56">
        <v>31</v>
      </c>
      <c r="D218" s="57">
        <f t="shared" si="4"/>
        <v>0.91176470588235292</v>
      </c>
      <c r="E218" s="59" t="s">
        <v>74</v>
      </c>
    </row>
    <row r="219" spans="1:5" x14ac:dyDescent="0.3">
      <c r="A219" s="55" t="s">
        <v>30</v>
      </c>
      <c r="B219" s="56">
        <v>6985</v>
      </c>
      <c r="C219" s="56">
        <v>5793</v>
      </c>
      <c r="D219" s="57">
        <f t="shared" si="4"/>
        <v>0.82934860415175371</v>
      </c>
      <c r="E219" s="59" t="s">
        <v>75</v>
      </c>
    </row>
    <row r="220" spans="1:5" x14ac:dyDescent="0.3">
      <c r="A220" s="55" t="s">
        <v>31</v>
      </c>
      <c r="B220" s="56">
        <v>661</v>
      </c>
      <c r="C220" s="56">
        <v>524</v>
      </c>
      <c r="D220" s="57">
        <f t="shared" si="4"/>
        <v>0.79273827534039332</v>
      </c>
      <c r="E220" s="59" t="s">
        <v>75</v>
      </c>
    </row>
    <row r="221" spans="1:5" x14ac:dyDescent="0.3">
      <c r="A221" s="55" t="s">
        <v>32</v>
      </c>
      <c r="B221" s="56">
        <v>63</v>
      </c>
      <c r="C221" s="56">
        <v>33</v>
      </c>
      <c r="D221" s="57">
        <f t="shared" si="4"/>
        <v>0.52380952380952384</v>
      </c>
      <c r="E221" s="59" t="s">
        <v>75</v>
      </c>
    </row>
    <row r="222" spans="1:5" x14ac:dyDescent="0.3">
      <c r="A222" s="55" t="s">
        <v>33</v>
      </c>
      <c r="B222" s="56">
        <v>712</v>
      </c>
      <c r="C222" s="56">
        <v>667</v>
      </c>
      <c r="D222" s="57">
        <f t="shared" si="4"/>
        <v>0.9367977528089888</v>
      </c>
      <c r="E222" s="59" t="s">
        <v>75</v>
      </c>
    </row>
    <row r="223" spans="1:5" x14ac:dyDescent="0.3">
      <c r="A223" s="55" t="s">
        <v>57</v>
      </c>
      <c r="B223" s="56">
        <v>168</v>
      </c>
      <c r="C223" s="56">
        <v>151</v>
      </c>
      <c r="D223" s="57">
        <f t="shared" si="4"/>
        <v>0.89880952380952384</v>
      </c>
      <c r="E223" s="59" t="s">
        <v>75</v>
      </c>
    </row>
    <row r="224" spans="1:5" x14ac:dyDescent="0.3">
      <c r="A224" s="55" t="s">
        <v>58</v>
      </c>
      <c r="B224" s="56">
        <v>120</v>
      </c>
      <c r="C224" s="56">
        <v>83</v>
      </c>
      <c r="D224" s="57">
        <f t="shared" si="4"/>
        <v>0.69166666666666665</v>
      </c>
      <c r="E224" s="59" t="s">
        <v>75</v>
      </c>
    </row>
    <row r="225" spans="1:5" x14ac:dyDescent="0.3">
      <c r="A225" s="55" t="s">
        <v>35</v>
      </c>
      <c r="B225" s="56">
        <v>1571</v>
      </c>
      <c r="C225" s="56">
        <v>1301</v>
      </c>
      <c r="D225" s="57">
        <f t="shared" si="4"/>
        <v>0.82813494589433478</v>
      </c>
      <c r="E225" s="59" t="s">
        <v>75</v>
      </c>
    </row>
    <row r="226" spans="1:5" x14ac:dyDescent="0.3">
      <c r="A226" s="55" t="s">
        <v>36</v>
      </c>
      <c r="B226" s="56">
        <v>1007</v>
      </c>
      <c r="C226" s="56">
        <v>859</v>
      </c>
      <c r="D226" s="57">
        <f t="shared" si="4"/>
        <v>0.85302879841112211</v>
      </c>
      <c r="E226" s="59" t="s">
        <v>75</v>
      </c>
    </row>
    <row r="227" spans="1:5" x14ac:dyDescent="0.3">
      <c r="A227" s="55" t="s">
        <v>64</v>
      </c>
      <c r="B227" s="56">
        <v>1398</v>
      </c>
      <c r="C227" s="56">
        <v>1258</v>
      </c>
      <c r="D227" s="57">
        <f t="shared" si="4"/>
        <v>0.89985693848354797</v>
      </c>
      <c r="E227" s="59" t="s">
        <v>75</v>
      </c>
    </row>
    <row r="228" spans="1:5" x14ac:dyDescent="0.3">
      <c r="A228" s="55" t="s">
        <v>59</v>
      </c>
      <c r="B228" s="56">
        <v>64</v>
      </c>
      <c r="C228" s="56">
        <v>56</v>
      </c>
      <c r="D228" s="57">
        <f t="shared" si="4"/>
        <v>0.875</v>
      </c>
      <c r="E228" s="59" t="s">
        <v>75</v>
      </c>
    </row>
    <row r="229" spans="1:5" x14ac:dyDescent="0.3">
      <c r="A229" s="55" t="s">
        <v>60</v>
      </c>
      <c r="B229" s="56">
        <v>690</v>
      </c>
      <c r="C229" s="56">
        <v>434</v>
      </c>
      <c r="D229" s="57">
        <f t="shared" si="4"/>
        <v>0.62898550724637681</v>
      </c>
      <c r="E229" s="59" t="s">
        <v>75</v>
      </c>
    </row>
    <row r="230" spans="1:5" x14ac:dyDescent="0.3">
      <c r="A230" s="55" t="s">
        <v>37</v>
      </c>
      <c r="B230" s="56">
        <v>514</v>
      </c>
      <c r="C230" s="56">
        <v>411</v>
      </c>
      <c r="D230" s="57">
        <f t="shared" si="4"/>
        <v>0.79961089494163429</v>
      </c>
      <c r="E230" s="59" t="s">
        <v>75</v>
      </c>
    </row>
    <row r="231" spans="1:5" x14ac:dyDescent="0.3">
      <c r="A231" s="55" t="s">
        <v>61</v>
      </c>
      <c r="B231" s="56">
        <v>17</v>
      </c>
      <c r="C231" s="56">
        <v>16</v>
      </c>
      <c r="D231" s="57">
        <f t="shared" si="4"/>
        <v>0.94117647058823528</v>
      </c>
      <c r="E231" s="59" t="s">
        <v>75</v>
      </c>
    </row>
    <row r="232" spans="1:5" x14ac:dyDescent="0.3">
      <c r="A232" s="55" t="s">
        <v>30</v>
      </c>
      <c r="B232" s="56">
        <v>7576</v>
      </c>
      <c r="C232" s="56">
        <v>6280</v>
      </c>
      <c r="D232" s="57">
        <f t="shared" si="4"/>
        <v>0.8289334741288279</v>
      </c>
      <c r="E232" s="59" t="s">
        <v>76</v>
      </c>
    </row>
    <row r="233" spans="1:5" x14ac:dyDescent="0.3">
      <c r="A233" s="13" t="s">
        <v>31</v>
      </c>
      <c r="B233" s="13">
        <v>644</v>
      </c>
      <c r="C233" s="13">
        <v>525</v>
      </c>
      <c r="D233" s="57">
        <f t="shared" si="4"/>
        <v>0.81521739130434778</v>
      </c>
      <c r="E233" s="59" t="s">
        <v>76</v>
      </c>
    </row>
    <row r="234" spans="1:5" x14ac:dyDescent="0.3">
      <c r="A234" s="13" t="s">
        <v>32</v>
      </c>
      <c r="B234" s="13">
        <v>49</v>
      </c>
      <c r="C234" s="13">
        <v>35</v>
      </c>
      <c r="D234" s="57">
        <f t="shared" si="4"/>
        <v>0.7142857142857143</v>
      </c>
      <c r="E234" s="59" t="s">
        <v>76</v>
      </c>
    </row>
    <row r="235" spans="1:5" x14ac:dyDescent="0.3">
      <c r="A235" s="13" t="s">
        <v>33</v>
      </c>
      <c r="B235" s="13">
        <v>781</v>
      </c>
      <c r="C235" s="13">
        <v>729</v>
      </c>
      <c r="D235" s="57">
        <f t="shared" si="4"/>
        <v>0.93341869398207422</v>
      </c>
      <c r="E235" s="59" t="s">
        <v>76</v>
      </c>
    </row>
    <row r="236" spans="1:5" x14ac:dyDescent="0.3">
      <c r="A236" s="13" t="s">
        <v>57</v>
      </c>
      <c r="B236" s="13">
        <v>131</v>
      </c>
      <c r="C236" s="13">
        <v>117</v>
      </c>
      <c r="D236" s="57">
        <f t="shared" si="4"/>
        <v>0.89312977099236646</v>
      </c>
      <c r="E236" s="59" t="s">
        <v>76</v>
      </c>
    </row>
    <row r="237" spans="1:5" x14ac:dyDescent="0.3">
      <c r="A237" s="13" t="s">
        <v>63</v>
      </c>
      <c r="B237" s="13">
        <v>21</v>
      </c>
      <c r="C237" s="13">
        <v>16</v>
      </c>
      <c r="D237" s="57">
        <f t="shared" si="4"/>
        <v>0.76190476190476186</v>
      </c>
      <c r="E237" s="59" t="s">
        <v>76</v>
      </c>
    </row>
    <row r="238" spans="1:5" x14ac:dyDescent="0.3">
      <c r="A238" s="13" t="s">
        <v>58</v>
      </c>
      <c r="B238" s="13">
        <v>120</v>
      </c>
      <c r="C238" s="13">
        <v>81</v>
      </c>
      <c r="D238" s="57">
        <f t="shared" si="4"/>
        <v>0.67500000000000004</v>
      </c>
      <c r="E238" s="59" t="s">
        <v>76</v>
      </c>
    </row>
    <row r="239" spans="1:5" x14ac:dyDescent="0.3">
      <c r="A239" s="13" t="s">
        <v>35</v>
      </c>
      <c r="B239" s="13">
        <v>1636</v>
      </c>
      <c r="C239" s="13">
        <v>1341</v>
      </c>
      <c r="D239" s="57">
        <f t="shared" si="4"/>
        <v>0.81968215158924207</v>
      </c>
      <c r="E239" s="59" t="s">
        <v>76</v>
      </c>
    </row>
    <row r="240" spans="1:5" x14ac:dyDescent="0.3">
      <c r="A240" s="13" t="s">
        <v>36</v>
      </c>
      <c r="B240" s="13">
        <v>1172</v>
      </c>
      <c r="C240" s="13">
        <v>1015</v>
      </c>
      <c r="D240" s="57">
        <f t="shared" si="4"/>
        <v>0.86604095563139927</v>
      </c>
      <c r="E240" s="59" t="s">
        <v>76</v>
      </c>
    </row>
    <row r="241" spans="1:5" x14ac:dyDescent="0.3">
      <c r="A241" s="13" t="s">
        <v>64</v>
      </c>
      <c r="B241" s="13">
        <v>1408</v>
      </c>
      <c r="C241" s="13">
        <v>1244</v>
      </c>
      <c r="D241" s="57">
        <f t="shared" si="4"/>
        <v>0.88352272727272729</v>
      </c>
      <c r="E241" s="59" t="s">
        <v>76</v>
      </c>
    </row>
    <row r="242" spans="1:5" x14ac:dyDescent="0.3">
      <c r="A242" s="13" t="s">
        <v>59</v>
      </c>
      <c r="B242" s="13">
        <v>338</v>
      </c>
      <c r="C242" s="13">
        <v>275</v>
      </c>
      <c r="D242" s="57">
        <f t="shared" si="4"/>
        <v>0.81360946745562135</v>
      </c>
      <c r="E242" s="59" t="s">
        <v>76</v>
      </c>
    </row>
    <row r="243" spans="1:5" x14ac:dyDescent="0.3">
      <c r="A243" s="13" t="s">
        <v>60</v>
      </c>
      <c r="B243" s="13">
        <v>717</v>
      </c>
      <c r="C243" s="13">
        <v>472</v>
      </c>
      <c r="D243" s="57">
        <f t="shared" ref="D243:D260" si="5">SUM(C243/B243)</f>
        <v>0.65829846582984664</v>
      </c>
      <c r="E243" s="59" t="s">
        <v>76</v>
      </c>
    </row>
    <row r="244" spans="1:5" x14ac:dyDescent="0.3">
      <c r="A244" s="13" t="s">
        <v>37</v>
      </c>
      <c r="B244" s="13">
        <v>546</v>
      </c>
      <c r="C244" s="13">
        <v>417</v>
      </c>
      <c r="D244" s="57">
        <f t="shared" si="5"/>
        <v>0.76373626373626369</v>
      </c>
      <c r="E244" s="59" t="s">
        <v>76</v>
      </c>
    </row>
    <row r="245" spans="1:5" x14ac:dyDescent="0.3">
      <c r="A245" s="13" t="s">
        <v>61</v>
      </c>
      <c r="B245" s="13">
        <v>13</v>
      </c>
      <c r="C245" s="13">
        <v>13</v>
      </c>
      <c r="D245" s="57">
        <f t="shared" si="5"/>
        <v>1</v>
      </c>
      <c r="E245" s="59" t="s">
        <v>76</v>
      </c>
    </row>
    <row r="246" spans="1:5" x14ac:dyDescent="0.3">
      <c r="A246" s="55" t="s">
        <v>30</v>
      </c>
      <c r="B246" s="56">
        <v>7405</v>
      </c>
      <c r="C246" s="56">
        <v>5955</v>
      </c>
      <c r="D246" s="57">
        <f t="shared" si="5"/>
        <v>0.80418636056718429</v>
      </c>
      <c r="E246" s="59" t="s">
        <v>77</v>
      </c>
    </row>
    <row r="247" spans="1:5" x14ac:dyDescent="0.3">
      <c r="A247" s="55" t="s">
        <v>31</v>
      </c>
      <c r="B247" s="56">
        <v>525</v>
      </c>
      <c r="C247" s="56">
        <v>430</v>
      </c>
      <c r="D247" s="57">
        <f t="shared" si="5"/>
        <v>0.81904761904761902</v>
      </c>
      <c r="E247" s="59" t="s">
        <v>77</v>
      </c>
    </row>
    <row r="248" spans="1:5" x14ac:dyDescent="0.3">
      <c r="A248" s="55" t="s">
        <v>32</v>
      </c>
      <c r="B248" s="56">
        <v>54</v>
      </c>
      <c r="C248" s="56">
        <v>23</v>
      </c>
      <c r="D248" s="57">
        <f t="shared" si="5"/>
        <v>0.42592592592592593</v>
      </c>
      <c r="E248" s="59" t="s">
        <v>77</v>
      </c>
    </row>
    <row r="249" spans="1:5" x14ac:dyDescent="0.3">
      <c r="A249" s="55" t="s">
        <v>33</v>
      </c>
      <c r="B249" s="56">
        <v>738</v>
      </c>
      <c r="C249" s="56">
        <v>682</v>
      </c>
      <c r="D249" s="57">
        <f t="shared" si="5"/>
        <v>0.92411924119241196</v>
      </c>
      <c r="E249" s="59" t="s">
        <v>77</v>
      </c>
    </row>
    <row r="250" spans="1:5" x14ac:dyDescent="0.3">
      <c r="A250" s="55" t="s">
        <v>57</v>
      </c>
      <c r="B250" s="56">
        <v>123</v>
      </c>
      <c r="C250" s="56">
        <v>103</v>
      </c>
      <c r="D250" s="57">
        <f t="shared" si="5"/>
        <v>0.83739837398373984</v>
      </c>
      <c r="E250" s="59" t="s">
        <v>77</v>
      </c>
    </row>
    <row r="251" spans="1:5" x14ac:dyDescent="0.3">
      <c r="A251" s="55" t="s">
        <v>63</v>
      </c>
      <c r="B251" s="56">
        <v>47</v>
      </c>
      <c r="C251" s="56">
        <v>38</v>
      </c>
      <c r="D251" s="57">
        <f t="shared" si="5"/>
        <v>0.80851063829787229</v>
      </c>
      <c r="E251" s="59" t="s">
        <v>77</v>
      </c>
    </row>
    <row r="252" spans="1:5" x14ac:dyDescent="0.3">
      <c r="A252" s="55" t="s">
        <v>58</v>
      </c>
      <c r="B252" s="56">
        <v>139</v>
      </c>
      <c r="C252" s="56">
        <v>83</v>
      </c>
      <c r="D252" s="57">
        <f t="shared" si="5"/>
        <v>0.59712230215827333</v>
      </c>
      <c r="E252" s="59" t="s">
        <v>77</v>
      </c>
    </row>
    <row r="253" spans="1:5" x14ac:dyDescent="0.3">
      <c r="A253" s="55" t="s">
        <v>35</v>
      </c>
      <c r="B253" s="56">
        <v>1698</v>
      </c>
      <c r="C253" s="56">
        <v>1313</v>
      </c>
      <c r="D253" s="57">
        <f t="shared" si="5"/>
        <v>0.77326266195524151</v>
      </c>
      <c r="E253" s="59" t="s">
        <v>77</v>
      </c>
    </row>
    <row r="254" spans="1:5" x14ac:dyDescent="0.3">
      <c r="A254" s="55" t="s">
        <v>36</v>
      </c>
      <c r="B254" s="56">
        <v>1175</v>
      </c>
      <c r="C254" s="56">
        <v>955</v>
      </c>
      <c r="D254" s="57">
        <f t="shared" si="5"/>
        <v>0.81276595744680846</v>
      </c>
      <c r="E254" s="59" t="s">
        <v>77</v>
      </c>
    </row>
    <row r="255" spans="1:5" x14ac:dyDescent="0.3">
      <c r="A255" s="55" t="s">
        <v>64</v>
      </c>
      <c r="B255" s="56">
        <v>1402</v>
      </c>
      <c r="C255" s="56">
        <v>1242</v>
      </c>
      <c r="D255" s="57">
        <f t="shared" si="5"/>
        <v>0.88587731811697579</v>
      </c>
      <c r="E255" s="59" t="s">
        <v>77</v>
      </c>
    </row>
    <row r="256" spans="1:5" x14ac:dyDescent="0.3">
      <c r="A256" s="55" t="s">
        <v>59</v>
      </c>
      <c r="B256" s="56">
        <v>258</v>
      </c>
      <c r="C256" s="56">
        <v>210</v>
      </c>
      <c r="D256" s="57">
        <f t="shared" si="5"/>
        <v>0.81395348837209303</v>
      </c>
      <c r="E256" s="59" t="s">
        <v>77</v>
      </c>
    </row>
    <row r="257" spans="1:7" x14ac:dyDescent="0.3">
      <c r="A257" s="55" t="s">
        <v>60</v>
      </c>
      <c r="B257" s="56">
        <v>801</v>
      </c>
      <c r="C257" s="56">
        <v>508</v>
      </c>
      <c r="D257" s="57">
        <f t="shared" si="5"/>
        <v>0.63420724094881398</v>
      </c>
      <c r="E257" s="59" t="s">
        <v>77</v>
      </c>
    </row>
    <row r="258" spans="1:7" x14ac:dyDescent="0.3">
      <c r="A258" s="55" t="s">
        <v>37</v>
      </c>
      <c r="B258" s="56">
        <v>393</v>
      </c>
      <c r="C258" s="56">
        <v>322</v>
      </c>
      <c r="D258" s="57">
        <f t="shared" si="5"/>
        <v>0.8193384223918575</v>
      </c>
      <c r="E258" s="59" t="s">
        <v>77</v>
      </c>
    </row>
    <row r="259" spans="1:7" x14ac:dyDescent="0.3">
      <c r="A259" s="55" t="s">
        <v>61</v>
      </c>
      <c r="B259" s="56">
        <v>52</v>
      </c>
      <c r="C259" s="56">
        <v>46</v>
      </c>
      <c r="D259" s="57">
        <f t="shared" si="5"/>
        <v>0.88461538461538458</v>
      </c>
      <c r="E259" s="59" t="s">
        <v>77</v>
      </c>
    </row>
    <row r="260" spans="1:7" x14ac:dyDescent="0.3">
      <c r="A260" s="55" t="s">
        <v>30</v>
      </c>
      <c r="B260" s="56">
        <v>7964</v>
      </c>
      <c r="C260" s="56">
        <v>6398</v>
      </c>
      <c r="D260" s="57">
        <f t="shared" si="5"/>
        <v>0.80336514314414864</v>
      </c>
      <c r="E260" s="59" t="s">
        <v>78</v>
      </c>
    </row>
    <row r="261" spans="1:7" x14ac:dyDescent="0.3">
      <c r="A261" s="55" t="s">
        <v>31</v>
      </c>
      <c r="B261" s="56">
        <v>883</v>
      </c>
      <c r="C261" s="56">
        <v>728</v>
      </c>
      <c r="D261" s="57">
        <f t="shared" ref="D261:D324" si="6">SUM(C261/B261)</f>
        <v>0.82446206115515286</v>
      </c>
      <c r="E261" s="59" t="s">
        <v>78</v>
      </c>
      <c r="F261"/>
      <c r="G261"/>
    </row>
    <row r="262" spans="1:7" x14ac:dyDescent="0.3">
      <c r="A262" s="55" t="s">
        <v>32</v>
      </c>
      <c r="B262" s="56">
        <v>51</v>
      </c>
      <c r="C262" s="56">
        <v>30</v>
      </c>
      <c r="D262" s="57">
        <f t="shared" si="6"/>
        <v>0.58823529411764708</v>
      </c>
      <c r="E262" s="59" t="s">
        <v>78</v>
      </c>
      <c r="F262"/>
      <c r="G262"/>
    </row>
    <row r="263" spans="1:7" x14ac:dyDescent="0.3">
      <c r="A263" s="55" t="s">
        <v>33</v>
      </c>
      <c r="B263" s="56">
        <v>843</v>
      </c>
      <c r="C263" s="56">
        <v>796</v>
      </c>
      <c r="D263" s="57">
        <f t="shared" si="6"/>
        <v>0.94424673784104385</v>
      </c>
      <c r="E263" s="59" t="s">
        <v>78</v>
      </c>
      <c r="F263"/>
      <c r="G263"/>
    </row>
    <row r="264" spans="1:7" x14ac:dyDescent="0.3">
      <c r="A264" s="55" t="s">
        <v>57</v>
      </c>
      <c r="B264" s="56">
        <v>65</v>
      </c>
      <c r="C264" s="56">
        <v>57</v>
      </c>
      <c r="D264" s="57">
        <f t="shared" si="6"/>
        <v>0.87692307692307692</v>
      </c>
      <c r="E264" s="59" t="s">
        <v>78</v>
      </c>
      <c r="F264"/>
      <c r="G264"/>
    </row>
    <row r="265" spans="1:7" x14ac:dyDescent="0.3">
      <c r="A265" s="55" t="s">
        <v>63</v>
      </c>
      <c r="B265" s="56">
        <v>61</v>
      </c>
      <c r="C265" s="56">
        <v>55</v>
      </c>
      <c r="D265" s="57">
        <f t="shared" si="6"/>
        <v>0.90163934426229508</v>
      </c>
      <c r="E265" s="59" t="s">
        <v>78</v>
      </c>
      <c r="F265"/>
      <c r="G265"/>
    </row>
    <row r="266" spans="1:7" x14ac:dyDescent="0.3">
      <c r="A266" s="55" t="s">
        <v>58</v>
      </c>
      <c r="B266" s="56">
        <v>149</v>
      </c>
      <c r="C266" s="56">
        <v>83</v>
      </c>
      <c r="D266" s="57">
        <f t="shared" si="6"/>
        <v>0.55704697986577179</v>
      </c>
      <c r="E266" s="59" t="s">
        <v>78</v>
      </c>
      <c r="F266"/>
      <c r="G266"/>
    </row>
    <row r="267" spans="1:7" x14ac:dyDescent="0.3">
      <c r="A267" s="55" t="s">
        <v>35</v>
      </c>
      <c r="B267" s="56">
        <v>1791</v>
      </c>
      <c r="C267" s="56">
        <v>1418</v>
      </c>
      <c r="D267" s="57">
        <f t="shared" si="6"/>
        <v>0.79173646007816867</v>
      </c>
      <c r="E267" s="59" t="s">
        <v>78</v>
      </c>
      <c r="F267"/>
      <c r="G267"/>
    </row>
    <row r="268" spans="1:7" x14ac:dyDescent="0.3">
      <c r="A268" s="55" t="s">
        <v>36</v>
      </c>
      <c r="B268" s="56">
        <v>1295</v>
      </c>
      <c r="C268" s="56">
        <v>1019</v>
      </c>
      <c r="D268" s="57">
        <f t="shared" si="6"/>
        <v>0.78687258687258688</v>
      </c>
      <c r="E268" s="59" t="s">
        <v>78</v>
      </c>
      <c r="F268"/>
      <c r="G268"/>
    </row>
    <row r="269" spans="1:7" x14ac:dyDescent="0.3">
      <c r="A269" s="55" t="s">
        <v>64</v>
      </c>
      <c r="B269" s="56">
        <v>1225</v>
      </c>
      <c r="C269" s="56">
        <v>1065</v>
      </c>
      <c r="D269" s="57">
        <f t="shared" si="6"/>
        <v>0.8693877551020408</v>
      </c>
      <c r="E269" s="59" t="s">
        <v>78</v>
      </c>
      <c r="F269"/>
      <c r="G269"/>
    </row>
    <row r="270" spans="1:7" x14ac:dyDescent="0.3">
      <c r="A270" s="55" t="s">
        <v>59</v>
      </c>
      <c r="B270" s="56">
        <v>401</v>
      </c>
      <c r="C270" s="56">
        <v>296</v>
      </c>
      <c r="D270" s="57">
        <f t="shared" si="6"/>
        <v>0.73815461346633415</v>
      </c>
      <c r="E270" s="59" t="s">
        <v>78</v>
      </c>
      <c r="F270"/>
      <c r="G270"/>
    </row>
    <row r="271" spans="1:7" x14ac:dyDescent="0.3">
      <c r="A271" s="55" t="s">
        <v>60</v>
      </c>
      <c r="B271" s="56">
        <v>736</v>
      </c>
      <c r="C271" s="56">
        <v>444</v>
      </c>
      <c r="D271" s="57">
        <f t="shared" si="6"/>
        <v>0.60326086956521741</v>
      </c>
      <c r="E271" s="59" t="s">
        <v>78</v>
      </c>
      <c r="F271"/>
      <c r="G271"/>
    </row>
    <row r="272" spans="1:7" x14ac:dyDescent="0.3">
      <c r="A272" s="55" t="s">
        <v>37</v>
      </c>
      <c r="B272" s="56">
        <v>406</v>
      </c>
      <c r="C272" s="56">
        <v>352</v>
      </c>
      <c r="D272" s="57">
        <f t="shared" si="6"/>
        <v>0.86699507389162567</v>
      </c>
      <c r="E272" s="59" t="s">
        <v>78</v>
      </c>
      <c r="F272"/>
      <c r="G272"/>
    </row>
    <row r="273" spans="1:7" x14ac:dyDescent="0.3">
      <c r="A273" s="55" t="s">
        <v>61</v>
      </c>
      <c r="B273" s="56">
        <v>38</v>
      </c>
      <c r="C273" s="56">
        <v>37</v>
      </c>
      <c r="D273" s="57">
        <f t="shared" si="6"/>
        <v>0.97368421052631582</v>
      </c>
      <c r="E273" s="59" t="s">
        <v>78</v>
      </c>
      <c r="F273"/>
      <c r="G273"/>
    </row>
    <row r="274" spans="1:7" x14ac:dyDescent="0.3">
      <c r="A274" s="55" t="s">
        <v>62</v>
      </c>
      <c r="B274" s="56">
        <v>20</v>
      </c>
      <c r="C274" s="56">
        <v>18</v>
      </c>
      <c r="D274" s="57">
        <f t="shared" si="6"/>
        <v>0.9</v>
      </c>
      <c r="E274" s="59" t="s">
        <v>78</v>
      </c>
      <c r="F274"/>
      <c r="G274"/>
    </row>
    <row r="275" spans="1:7" x14ac:dyDescent="0.3">
      <c r="A275" s="55" t="s">
        <v>30</v>
      </c>
      <c r="B275" s="56">
        <v>6498</v>
      </c>
      <c r="C275" s="56">
        <v>5397</v>
      </c>
      <c r="D275" s="57">
        <f t="shared" si="6"/>
        <v>0.83056325023084021</v>
      </c>
      <c r="E275" s="59" t="s">
        <v>79</v>
      </c>
    </row>
    <row r="276" spans="1:7" x14ac:dyDescent="0.3">
      <c r="A276" s="55" t="s">
        <v>31</v>
      </c>
      <c r="B276" s="56">
        <v>655</v>
      </c>
      <c r="C276" s="56">
        <v>548</v>
      </c>
      <c r="D276" s="57">
        <f t="shared" si="6"/>
        <v>0.83664122137404584</v>
      </c>
      <c r="E276" s="59" t="s">
        <v>79</v>
      </c>
      <c r="F276"/>
      <c r="G276"/>
    </row>
    <row r="277" spans="1:7" x14ac:dyDescent="0.3">
      <c r="A277" s="55" t="s">
        <v>32</v>
      </c>
      <c r="B277" s="56">
        <v>39</v>
      </c>
      <c r="C277" s="56">
        <v>26</v>
      </c>
      <c r="D277" s="57">
        <f t="shared" si="6"/>
        <v>0.66666666666666663</v>
      </c>
      <c r="E277" s="59" t="s">
        <v>79</v>
      </c>
      <c r="F277"/>
      <c r="G277"/>
    </row>
    <row r="278" spans="1:7" x14ac:dyDescent="0.3">
      <c r="A278" s="55" t="s">
        <v>33</v>
      </c>
      <c r="B278" s="56">
        <v>895</v>
      </c>
      <c r="C278" s="56">
        <v>841</v>
      </c>
      <c r="D278" s="57">
        <f t="shared" si="6"/>
        <v>0.9396648044692737</v>
      </c>
      <c r="E278" s="59" t="s">
        <v>79</v>
      </c>
      <c r="F278"/>
      <c r="G278"/>
    </row>
    <row r="279" spans="1:7" x14ac:dyDescent="0.3">
      <c r="A279" s="55" t="s">
        <v>57</v>
      </c>
      <c r="B279" s="56">
        <v>41</v>
      </c>
      <c r="C279" s="56">
        <v>33</v>
      </c>
      <c r="D279" s="57">
        <f t="shared" si="6"/>
        <v>0.80487804878048785</v>
      </c>
      <c r="E279" s="59" t="s">
        <v>79</v>
      </c>
      <c r="F279"/>
      <c r="G279"/>
    </row>
    <row r="280" spans="1:7" x14ac:dyDescent="0.3">
      <c r="A280" s="55" t="s">
        <v>63</v>
      </c>
      <c r="B280" s="56">
        <v>76</v>
      </c>
      <c r="C280" s="56">
        <v>67</v>
      </c>
      <c r="D280" s="57">
        <f t="shared" si="6"/>
        <v>0.88157894736842102</v>
      </c>
      <c r="E280" s="59" t="s">
        <v>79</v>
      </c>
      <c r="F280"/>
      <c r="G280"/>
    </row>
    <row r="281" spans="1:7" x14ac:dyDescent="0.3">
      <c r="A281" s="55" t="s">
        <v>58</v>
      </c>
      <c r="B281" s="56">
        <v>126</v>
      </c>
      <c r="C281" s="56">
        <v>82</v>
      </c>
      <c r="D281" s="57">
        <f t="shared" si="6"/>
        <v>0.65079365079365081</v>
      </c>
      <c r="E281" s="59" t="s">
        <v>79</v>
      </c>
      <c r="F281"/>
      <c r="G281"/>
    </row>
    <row r="282" spans="1:7" x14ac:dyDescent="0.3">
      <c r="A282" s="55" t="s">
        <v>35</v>
      </c>
      <c r="B282" s="56">
        <v>1250</v>
      </c>
      <c r="C282" s="56">
        <v>1004</v>
      </c>
      <c r="D282" s="57">
        <f t="shared" si="6"/>
        <v>0.80320000000000003</v>
      </c>
      <c r="E282" s="59" t="s">
        <v>79</v>
      </c>
      <c r="F282"/>
      <c r="G282"/>
    </row>
    <row r="283" spans="1:7" x14ac:dyDescent="0.3">
      <c r="A283" s="55" t="s">
        <v>36</v>
      </c>
      <c r="B283" s="56">
        <v>948</v>
      </c>
      <c r="C283" s="56">
        <v>791</v>
      </c>
      <c r="D283" s="57">
        <f t="shared" si="6"/>
        <v>0.83438818565400841</v>
      </c>
      <c r="E283" s="59" t="s">
        <v>79</v>
      </c>
      <c r="F283"/>
      <c r="G283"/>
    </row>
    <row r="284" spans="1:7" x14ac:dyDescent="0.3">
      <c r="A284" s="55" t="s">
        <v>64</v>
      </c>
      <c r="B284" s="56">
        <v>1235</v>
      </c>
      <c r="C284" s="56">
        <v>1078</v>
      </c>
      <c r="D284" s="57">
        <f t="shared" si="6"/>
        <v>0.87287449392712546</v>
      </c>
      <c r="E284" s="59" t="s">
        <v>79</v>
      </c>
      <c r="F284"/>
      <c r="G284"/>
    </row>
    <row r="285" spans="1:7" x14ac:dyDescent="0.3">
      <c r="A285" s="55" t="s">
        <v>59</v>
      </c>
      <c r="B285" s="56">
        <v>147</v>
      </c>
      <c r="C285" s="56">
        <v>119</v>
      </c>
      <c r="D285" s="57">
        <f t="shared" si="6"/>
        <v>0.80952380952380953</v>
      </c>
      <c r="E285" s="59" t="s">
        <v>79</v>
      </c>
      <c r="F285"/>
      <c r="G285"/>
    </row>
    <row r="286" spans="1:7" x14ac:dyDescent="0.3">
      <c r="A286" s="55" t="s">
        <v>60</v>
      </c>
      <c r="B286" s="56">
        <v>531</v>
      </c>
      <c r="C286" s="56">
        <v>336</v>
      </c>
      <c r="D286" s="57">
        <f t="shared" si="6"/>
        <v>0.63276836158192096</v>
      </c>
      <c r="E286" s="59" t="s">
        <v>79</v>
      </c>
      <c r="F286"/>
      <c r="G286"/>
    </row>
    <row r="287" spans="1:7" x14ac:dyDescent="0.3">
      <c r="A287" s="55" t="s">
        <v>37</v>
      </c>
      <c r="B287" s="56">
        <v>518</v>
      </c>
      <c r="C287" s="56">
        <v>443</v>
      </c>
      <c r="D287" s="57">
        <f t="shared" si="6"/>
        <v>0.85521235521235517</v>
      </c>
      <c r="E287" s="59" t="s">
        <v>79</v>
      </c>
      <c r="F287"/>
      <c r="G287"/>
    </row>
    <row r="288" spans="1:7" x14ac:dyDescent="0.3">
      <c r="A288" s="55" t="s">
        <v>61</v>
      </c>
      <c r="B288" s="56">
        <v>37</v>
      </c>
      <c r="C288" s="56">
        <v>29</v>
      </c>
      <c r="D288" s="57">
        <f t="shared" si="6"/>
        <v>0.78378378378378377</v>
      </c>
      <c r="E288" s="59" t="s">
        <v>79</v>
      </c>
      <c r="F288"/>
      <c r="G288"/>
    </row>
    <row r="289" spans="1:5" x14ac:dyDescent="0.3">
      <c r="A289" s="13" t="s">
        <v>31</v>
      </c>
      <c r="B289" s="13">
        <v>586</v>
      </c>
      <c r="C289" s="13">
        <v>463</v>
      </c>
      <c r="D289" s="57">
        <f t="shared" si="6"/>
        <v>0.79010238907849828</v>
      </c>
      <c r="E289" s="59" t="s">
        <v>80</v>
      </c>
    </row>
    <row r="290" spans="1:5" x14ac:dyDescent="0.3">
      <c r="A290" s="13" t="s">
        <v>32</v>
      </c>
      <c r="B290" s="13">
        <v>82</v>
      </c>
      <c r="C290" s="13">
        <v>42</v>
      </c>
      <c r="D290" s="57">
        <f t="shared" si="6"/>
        <v>0.51219512195121952</v>
      </c>
      <c r="E290" s="59" t="s">
        <v>80</v>
      </c>
    </row>
    <row r="291" spans="1:5" x14ac:dyDescent="0.3">
      <c r="A291" s="13" t="s">
        <v>33</v>
      </c>
      <c r="B291" s="13">
        <v>986</v>
      </c>
      <c r="C291" s="13">
        <v>913</v>
      </c>
      <c r="D291" s="57">
        <f t="shared" si="6"/>
        <v>0.92596348884381341</v>
      </c>
      <c r="E291" s="59" t="s">
        <v>80</v>
      </c>
    </row>
    <row r="292" spans="1:5" x14ac:dyDescent="0.3">
      <c r="A292" s="13" t="s">
        <v>57</v>
      </c>
      <c r="B292" s="13">
        <v>49</v>
      </c>
      <c r="C292" s="13">
        <v>38</v>
      </c>
      <c r="D292" s="57">
        <f t="shared" si="6"/>
        <v>0.77551020408163263</v>
      </c>
      <c r="E292" s="59" t="s">
        <v>80</v>
      </c>
    </row>
    <row r="293" spans="1:5" x14ac:dyDescent="0.3">
      <c r="A293" s="13" t="s">
        <v>58</v>
      </c>
      <c r="B293" s="13">
        <v>105</v>
      </c>
      <c r="C293" s="13">
        <v>68</v>
      </c>
      <c r="D293" s="57">
        <f t="shared" si="6"/>
        <v>0.64761904761904765</v>
      </c>
      <c r="E293" s="59" t="s">
        <v>80</v>
      </c>
    </row>
    <row r="294" spans="1:5" x14ac:dyDescent="0.3">
      <c r="A294" s="13" t="s">
        <v>35</v>
      </c>
      <c r="B294" s="13">
        <v>1534</v>
      </c>
      <c r="C294" s="13">
        <v>1200</v>
      </c>
      <c r="D294" s="57">
        <f t="shared" si="6"/>
        <v>0.78226857887874834</v>
      </c>
      <c r="E294" s="59" t="s">
        <v>80</v>
      </c>
    </row>
    <row r="295" spans="1:5" x14ac:dyDescent="0.3">
      <c r="A295" s="13" t="s">
        <v>36</v>
      </c>
      <c r="B295" s="13">
        <v>1066</v>
      </c>
      <c r="C295" s="13">
        <v>877</v>
      </c>
      <c r="D295" s="57">
        <f t="shared" si="6"/>
        <v>0.82270168855534709</v>
      </c>
      <c r="E295" s="59" t="s">
        <v>80</v>
      </c>
    </row>
    <row r="296" spans="1:5" x14ac:dyDescent="0.3">
      <c r="A296" s="13" t="s">
        <v>64</v>
      </c>
      <c r="B296" s="13">
        <v>1043</v>
      </c>
      <c r="C296" s="13">
        <v>928</v>
      </c>
      <c r="D296" s="57">
        <f t="shared" si="6"/>
        <v>0.88974113135186961</v>
      </c>
      <c r="E296" s="59" t="s">
        <v>80</v>
      </c>
    </row>
    <row r="297" spans="1:5" x14ac:dyDescent="0.3">
      <c r="A297" s="13" t="s">
        <v>59</v>
      </c>
      <c r="B297" s="13">
        <v>320</v>
      </c>
      <c r="C297" s="13">
        <v>259</v>
      </c>
      <c r="D297" s="57">
        <f t="shared" si="6"/>
        <v>0.80937499999999996</v>
      </c>
      <c r="E297" s="59" t="s">
        <v>80</v>
      </c>
    </row>
    <row r="298" spans="1:5" x14ac:dyDescent="0.3">
      <c r="A298" s="13" t="s">
        <v>60</v>
      </c>
      <c r="B298" s="13">
        <v>610</v>
      </c>
      <c r="C298" s="13">
        <v>391</v>
      </c>
      <c r="D298" s="57">
        <f t="shared" si="6"/>
        <v>0.64098360655737707</v>
      </c>
      <c r="E298" s="59" t="s">
        <v>80</v>
      </c>
    </row>
    <row r="299" spans="1:5" x14ac:dyDescent="0.3">
      <c r="A299" s="13" t="s">
        <v>37</v>
      </c>
      <c r="B299" s="13">
        <v>612</v>
      </c>
      <c r="C299" s="13">
        <v>493</v>
      </c>
      <c r="D299" s="57">
        <f t="shared" si="6"/>
        <v>0.80555555555555558</v>
      </c>
      <c r="E299" s="59" t="s">
        <v>80</v>
      </c>
    </row>
    <row r="300" spans="1:5" x14ac:dyDescent="0.3">
      <c r="A300" s="13" t="s">
        <v>61</v>
      </c>
      <c r="B300" s="13">
        <v>38</v>
      </c>
      <c r="C300" s="13">
        <v>31</v>
      </c>
      <c r="D300" s="57">
        <f t="shared" si="6"/>
        <v>0.81578947368421051</v>
      </c>
      <c r="E300" s="59" t="s">
        <v>80</v>
      </c>
    </row>
    <row r="301" spans="1:5" x14ac:dyDescent="0.3">
      <c r="A301" s="13" t="s">
        <v>62</v>
      </c>
      <c r="B301" s="13">
        <v>14</v>
      </c>
      <c r="C301" s="13">
        <v>8</v>
      </c>
      <c r="D301" s="57">
        <f t="shared" si="6"/>
        <v>0.5714285714285714</v>
      </c>
      <c r="E301" s="59" t="s">
        <v>80</v>
      </c>
    </row>
    <row r="302" spans="1:5" x14ac:dyDescent="0.3">
      <c r="A302" s="55" t="s">
        <v>31</v>
      </c>
      <c r="B302" s="56">
        <v>515</v>
      </c>
      <c r="C302" s="56">
        <v>427</v>
      </c>
      <c r="D302" s="57">
        <f t="shared" si="6"/>
        <v>0.82912621359223304</v>
      </c>
      <c r="E302" s="59" t="s">
        <v>81</v>
      </c>
    </row>
    <row r="303" spans="1:5" x14ac:dyDescent="0.3">
      <c r="A303" s="55" t="s">
        <v>32</v>
      </c>
      <c r="B303" s="56">
        <v>61</v>
      </c>
      <c r="C303" s="56">
        <v>28</v>
      </c>
      <c r="D303" s="57">
        <f t="shared" si="6"/>
        <v>0.45901639344262296</v>
      </c>
      <c r="E303" s="59" t="s">
        <v>81</v>
      </c>
    </row>
    <row r="304" spans="1:5" x14ac:dyDescent="0.3">
      <c r="A304" s="55" t="s">
        <v>33</v>
      </c>
      <c r="B304" s="56">
        <v>855</v>
      </c>
      <c r="C304" s="56">
        <v>805</v>
      </c>
      <c r="D304" s="57">
        <f t="shared" si="6"/>
        <v>0.94152046783625731</v>
      </c>
      <c r="E304" s="59" t="s">
        <v>81</v>
      </c>
    </row>
    <row r="305" spans="1:5" x14ac:dyDescent="0.3">
      <c r="A305" s="55" t="s">
        <v>57</v>
      </c>
      <c r="B305" s="56">
        <v>20</v>
      </c>
      <c r="C305" s="56">
        <v>17</v>
      </c>
      <c r="D305" s="57">
        <f t="shared" si="6"/>
        <v>0.85</v>
      </c>
      <c r="E305" s="59" t="s">
        <v>81</v>
      </c>
    </row>
    <row r="306" spans="1:5" x14ac:dyDescent="0.3">
      <c r="A306" s="55" t="s">
        <v>63</v>
      </c>
      <c r="B306" s="56">
        <v>25</v>
      </c>
      <c r="C306" s="56">
        <v>23</v>
      </c>
      <c r="D306" s="57">
        <f t="shared" si="6"/>
        <v>0.92</v>
      </c>
      <c r="E306" s="59" t="s">
        <v>81</v>
      </c>
    </row>
    <row r="307" spans="1:5" x14ac:dyDescent="0.3">
      <c r="A307" s="55" t="s">
        <v>58</v>
      </c>
      <c r="B307" s="56">
        <v>94</v>
      </c>
      <c r="C307" s="56">
        <v>56</v>
      </c>
      <c r="D307" s="57">
        <f t="shared" si="6"/>
        <v>0.5957446808510638</v>
      </c>
      <c r="E307" s="59" t="s">
        <v>81</v>
      </c>
    </row>
    <row r="308" spans="1:5" x14ac:dyDescent="0.3">
      <c r="A308" s="55" t="s">
        <v>35</v>
      </c>
      <c r="B308" s="56">
        <v>1715</v>
      </c>
      <c r="C308" s="56">
        <v>1441</v>
      </c>
      <c r="D308" s="57">
        <f t="shared" si="6"/>
        <v>0.8402332361516035</v>
      </c>
      <c r="E308" s="59" t="s">
        <v>81</v>
      </c>
    </row>
    <row r="309" spans="1:5" x14ac:dyDescent="0.3">
      <c r="A309" s="55" t="s">
        <v>36</v>
      </c>
      <c r="B309" s="56">
        <v>1211</v>
      </c>
      <c r="C309" s="56">
        <v>972</v>
      </c>
      <c r="D309" s="57">
        <f t="shared" si="6"/>
        <v>0.80264244426094133</v>
      </c>
      <c r="E309" s="59" t="s">
        <v>81</v>
      </c>
    </row>
    <row r="310" spans="1:5" x14ac:dyDescent="0.3">
      <c r="A310" s="55" t="s">
        <v>64</v>
      </c>
      <c r="B310" s="56">
        <v>1109</v>
      </c>
      <c r="C310" s="56">
        <v>971</v>
      </c>
      <c r="D310" s="57">
        <f t="shared" si="6"/>
        <v>0.87556357078449054</v>
      </c>
      <c r="E310" s="59" t="s">
        <v>81</v>
      </c>
    </row>
    <row r="311" spans="1:5" x14ac:dyDescent="0.3">
      <c r="A311" s="55" t="s">
        <v>59</v>
      </c>
      <c r="B311" s="56">
        <v>320</v>
      </c>
      <c r="C311" s="56">
        <v>254</v>
      </c>
      <c r="D311" s="57">
        <f t="shared" si="6"/>
        <v>0.79374999999999996</v>
      </c>
      <c r="E311" s="59" t="s">
        <v>81</v>
      </c>
    </row>
    <row r="312" spans="1:5" x14ac:dyDescent="0.3">
      <c r="A312" s="55" t="s">
        <v>60</v>
      </c>
      <c r="B312" s="56">
        <v>677</v>
      </c>
      <c r="C312" s="56">
        <v>439</v>
      </c>
      <c r="D312" s="57">
        <f t="shared" si="6"/>
        <v>0.64844903988183156</v>
      </c>
      <c r="E312" s="59" t="s">
        <v>81</v>
      </c>
    </row>
    <row r="313" spans="1:5" x14ac:dyDescent="0.3">
      <c r="A313" s="55" t="s">
        <v>37</v>
      </c>
      <c r="B313" s="56">
        <v>335</v>
      </c>
      <c r="C313" s="56">
        <v>266</v>
      </c>
      <c r="D313" s="57">
        <f t="shared" si="6"/>
        <v>0.79402985074626864</v>
      </c>
      <c r="E313" s="59" t="s">
        <v>81</v>
      </c>
    </row>
    <row r="314" spans="1:5" x14ac:dyDescent="0.3">
      <c r="A314" s="55" t="s">
        <v>61</v>
      </c>
      <c r="B314" s="56">
        <v>35</v>
      </c>
      <c r="C314" s="56">
        <v>32</v>
      </c>
      <c r="D314" s="57">
        <f t="shared" si="6"/>
        <v>0.91428571428571426</v>
      </c>
      <c r="E314" s="59" t="s">
        <v>81</v>
      </c>
    </row>
    <row r="315" spans="1:5" x14ac:dyDescent="0.3">
      <c r="A315" s="55" t="s">
        <v>62</v>
      </c>
      <c r="B315" s="56">
        <v>145</v>
      </c>
      <c r="C315" s="56">
        <v>117</v>
      </c>
      <c r="D315" s="57">
        <f t="shared" si="6"/>
        <v>0.80689655172413788</v>
      </c>
      <c r="E315" s="59" t="s">
        <v>81</v>
      </c>
    </row>
    <row r="316" spans="1:5" x14ac:dyDescent="0.3">
      <c r="A316" s="55" t="s">
        <v>31</v>
      </c>
      <c r="B316" s="56">
        <v>522</v>
      </c>
      <c r="C316" s="56">
        <v>426</v>
      </c>
      <c r="D316" s="57">
        <f t="shared" si="6"/>
        <v>0.81609195402298851</v>
      </c>
      <c r="E316" s="59" t="s">
        <v>82</v>
      </c>
    </row>
    <row r="317" spans="1:5" x14ac:dyDescent="0.3">
      <c r="A317" s="55" t="s">
        <v>32</v>
      </c>
      <c r="B317" s="56">
        <v>32</v>
      </c>
      <c r="C317" s="56">
        <v>21</v>
      </c>
      <c r="D317" s="57">
        <f t="shared" si="6"/>
        <v>0.65625</v>
      </c>
      <c r="E317" s="59" t="s">
        <v>82</v>
      </c>
    </row>
    <row r="318" spans="1:5" x14ac:dyDescent="0.3">
      <c r="A318" s="55" t="s">
        <v>33</v>
      </c>
      <c r="B318" s="56">
        <v>516</v>
      </c>
      <c r="C318" s="56">
        <v>477</v>
      </c>
      <c r="D318" s="57">
        <f t="shared" si="6"/>
        <v>0.92441860465116277</v>
      </c>
      <c r="E318" s="59" t="s">
        <v>82</v>
      </c>
    </row>
    <row r="319" spans="1:5" x14ac:dyDescent="0.3">
      <c r="A319" s="55" t="s">
        <v>57</v>
      </c>
      <c r="B319" s="56">
        <v>55</v>
      </c>
      <c r="C319" s="56">
        <v>48</v>
      </c>
      <c r="D319" s="57">
        <f t="shared" si="6"/>
        <v>0.87272727272727268</v>
      </c>
      <c r="E319" s="59" t="s">
        <v>82</v>
      </c>
    </row>
    <row r="320" spans="1:5" x14ac:dyDescent="0.3">
      <c r="A320" s="55" t="s">
        <v>58</v>
      </c>
      <c r="B320" s="56">
        <v>111</v>
      </c>
      <c r="C320" s="56">
        <v>77</v>
      </c>
      <c r="D320" s="57">
        <f t="shared" si="6"/>
        <v>0.69369369369369371</v>
      </c>
      <c r="E320" s="59" t="s">
        <v>82</v>
      </c>
    </row>
    <row r="321" spans="1:5" x14ac:dyDescent="0.3">
      <c r="A321" s="55" t="s">
        <v>35</v>
      </c>
      <c r="B321" s="56">
        <v>1187</v>
      </c>
      <c r="C321" s="56">
        <v>929</v>
      </c>
      <c r="D321" s="57">
        <f t="shared" si="6"/>
        <v>0.78264532434709355</v>
      </c>
      <c r="E321" s="59" t="s">
        <v>82</v>
      </c>
    </row>
    <row r="322" spans="1:5" x14ac:dyDescent="0.3">
      <c r="A322" s="55" t="s">
        <v>36</v>
      </c>
      <c r="B322" s="56">
        <v>1183</v>
      </c>
      <c r="C322" s="56">
        <v>937</v>
      </c>
      <c r="D322" s="57">
        <f t="shared" si="6"/>
        <v>0.79205409974640739</v>
      </c>
      <c r="E322" s="59" t="s">
        <v>82</v>
      </c>
    </row>
    <row r="323" spans="1:5" x14ac:dyDescent="0.3">
      <c r="A323" s="55" t="s">
        <v>64</v>
      </c>
      <c r="B323" s="56">
        <v>978</v>
      </c>
      <c r="C323" s="56">
        <v>849</v>
      </c>
      <c r="D323" s="57">
        <f t="shared" si="6"/>
        <v>0.86809815950920244</v>
      </c>
      <c r="E323" s="59" t="s">
        <v>82</v>
      </c>
    </row>
    <row r="324" spans="1:5" x14ac:dyDescent="0.3">
      <c r="A324" s="55" t="s">
        <v>59</v>
      </c>
      <c r="B324" s="56">
        <v>344</v>
      </c>
      <c r="C324" s="56">
        <v>265</v>
      </c>
      <c r="D324" s="57">
        <f t="shared" si="6"/>
        <v>0.77034883720930236</v>
      </c>
      <c r="E324" s="59" t="s">
        <v>82</v>
      </c>
    </row>
    <row r="325" spans="1:5" x14ac:dyDescent="0.3">
      <c r="A325" s="55" t="s">
        <v>60</v>
      </c>
      <c r="B325" s="56">
        <v>618</v>
      </c>
      <c r="C325" s="56">
        <v>406</v>
      </c>
      <c r="D325" s="57">
        <f t="shared" ref="D325:D388" si="7">SUM(C325/B325)</f>
        <v>0.65695792880258896</v>
      </c>
      <c r="E325" s="59" t="s">
        <v>82</v>
      </c>
    </row>
    <row r="326" spans="1:5" x14ac:dyDescent="0.3">
      <c r="A326" s="55" t="s">
        <v>37</v>
      </c>
      <c r="B326" s="56">
        <v>405</v>
      </c>
      <c r="C326" s="56">
        <v>334</v>
      </c>
      <c r="D326" s="57">
        <f t="shared" si="7"/>
        <v>0.8246913580246914</v>
      </c>
      <c r="E326" s="59" t="s">
        <v>82</v>
      </c>
    </row>
    <row r="327" spans="1:5" x14ac:dyDescent="0.3">
      <c r="A327" s="55" t="s">
        <v>61</v>
      </c>
      <c r="B327" s="56">
        <v>86</v>
      </c>
      <c r="C327" s="56">
        <v>78</v>
      </c>
      <c r="D327" s="57">
        <f t="shared" si="7"/>
        <v>0.90697674418604646</v>
      </c>
      <c r="E327" s="59" t="s">
        <v>82</v>
      </c>
    </row>
    <row r="328" spans="1:5" x14ac:dyDescent="0.3">
      <c r="A328" s="55" t="s">
        <v>62</v>
      </c>
      <c r="B328" s="56">
        <v>42</v>
      </c>
      <c r="C328" s="56">
        <v>40</v>
      </c>
      <c r="D328" s="57">
        <f t="shared" si="7"/>
        <v>0.95238095238095233</v>
      </c>
      <c r="E328" s="59" t="s">
        <v>82</v>
      </c>
    </row>
    <row r="329" spans="1:5" x14ac:dyDescent="0.3">
      <c r="A329" s="55" t="s">
        <v>30</v>
      </c>
      <c r="B329" s="56">
        <v>6740</v>
      </c>
      <c r="C329" s="56">
        <v>5529</v>
      </c>
      <c r="D329" s="57">
        <f t="shared" si="7"/>
        <v>0.82032640949554891</v>
      </c>
      <c r="E329" s="59" t="s">
        <v>83</v>
      </c>
    </row>
    <row r="330" spans="1:5" x14ac:dyDescent="0.3">
      <c r="A330" s="13" t="s">
        <v>31</v>
      </c>
      <c r="B330" s="13">
        <v>441</v>
      </c>
      <c r="C330" s="13">
        <v>337</v>
      </c>
      <c r="D330" s="57">
        <f t="shared" si="7"/>
        <v>0.76417233560090703</v>
      </c>
      <c r="E330" s="59" t="s">
        <v>83</v>
      </c>
    </row>
    <row r="331" spans="1:5" x14ac:dyDescent="0.3">
      <c r="A331" s="13" t="s">
        <v>32</v>
      </c>
      <c r="B331" s="13">
        <v>57</v>
      </c>
      <c r="C331" s="13">
        <v>31</v>
      </c>
      <c r="D331" s="57">
        <f t="shared" si="7"/>
        <v>0.54385964912280704</v>
      </c>
      <c r="E331" s="59" t="s">
        <v>83</v>
      </c>
    </row>
    <row r="332" spans="1:5" x14ac:dyDescent="0.3">
      <c r="A332" s="13" t="s">
        <v>33</v>
      </c>
      <c r="B332" s="13">
        <v>723</v>
      </c>
      <c r="C332" s="13">
        <v>674</v>
      </c>
      <c r="D332" s="57">
        <f t="shared" si="7"/>
        <v>0.93222683264177042</v>
      </c>
      <c r="E332" s="59" t="s">
        <v>83</v>
      </c>
    </row>
    <row r="333" spans="1:5" x14ac:dyDescent="0.3">
      <c r="A333" s="13" t="s">
        <v>57</v>
      </c>
      <c r="B333" s="13">
        <v>103</v>
      </c>
      <c r="C333" s="13">
        <v>86</v>
      </c>
      <c r="D333" s="57">
        <f t="shared" si="7"/>
        <v>0.83495145631067957</v>
      </c>
      <c r="E333" s="59" t="s">
        <v>83</v>
      </c>
    </row>
    <row r="334" spans="1:5" x14ac:dyDescent="0.3">
      <c r="A334" s="13" t="s">
        <v>63</v>
      </c>
      <c r="B334" s="13">
        <v>29</v>
      </c>
      <c r="C334" s="13">
        <v>28</v>
      </c>
      <c r="D334" s="57">
        <f t="shared" si="7"/>
        <v>0.96551724137931039</v>
      </c>
      <c r="E334" s="59" t="s">
        <v>83</v>
      </c>
    </row>
    <row r="335" spans="1:5" x14ac:dyDescent="0.3">
      <c r="A335" s="13" t="s">
        <v>58</v>
      </c>
      <c r="B335" s="13">
        <v>158</v>
      </c>
      <c r="C335" s="13">
        <v>110</v>
      </c>
      <c r="D335" s="57">
        <f t="shared" si="7"/>
        <v>0.69620253164556967</v>
      </c>
      <c r="E335" s="59" t="s">
        <v>83</v>
      </c>
    </row>
    <row r="336" spans="1:5" x14ac:dyDescent="0.3">
      <c r="A336" s="13" t="s">
        <v>35</v>
      </c>
      <c r="B336" s="58">
        <v>1214</v>
      </c>
      <c r="C336" s="13">
        <v>986</v>
      </c>
      <c r="D336" s="57">
        <f t="shared" si="7"/>
        <v>0.81219110378912684</v>
      </c>
      <c r="E336" s="59" t="s">
        <v>83</v>
      </c>
    </row>
    <row r="337" spans="1:12" x14ac:dyDescent="0.3">
      <c r="A337" s="13" t="s">
        <v>36</v>
      </c>
      <c r="B337" s="58">
        <v>1174</v>
      </c>
      <c r="C337" s="13">
        <v>976</v>
      </c>
      <c r="D337" s="57">
        <f t="shared" si="7"/>
        <v>0.83134582623509368</v>
      </c>
      <c r="E337" s="59" t="s">
        <v>83</v>
      </c>
    </row>
    <row r="338" spans="1:12" x14ac:dyDescent="0.3">
      <c r="A338" s="13" t="s">
        <v>64</v>
      </c>
      <c r="B338" s="58">
        <v>1380</v>
      </c>
      <c r="C338" s="58">
        <v>1230</v>
      </c>
      <c r="D338" s="57">
        <f t="shared" si="7"/>
        <v>0.89130434782608692</v>
      </c>
      <c r="E338" s="59" t="s">
        <v>83</v>
      </c>
    </row>
    <row r="339" spans="1:12" x14ac:dyDescent="0.3">
      <c r="A339" s="13" t="s">
        <v>59</v>
      </c>
      <c r="B339" s="13">
        <v>235</v>
      </c>
      <c r="C339" s="13">
        <v>184</v>
      </c>
      <c r="D339" s="57">
        <f t="shared" si="7"/>
        <v>0.78297872340425534</v>
      </c>
      <c r="E339" s="59" t="s">
        <v>83</v>
      </c>
    </row>
    <row r="340" spans="1:12" x14ac:dyDescent="0.3">
      <c r="A340" s="13" t="s">
        <v>60</v>
      </c>
      <c r="B340" s="13">
        <v>700</v>
      </c>
      <c r="C340" s="13">
        <v>447</v>
      </c>
      <c r="D340" s="57">
        <f t="shared" si="7"/>
        <v>0.63857142857142857</v>
      </c>
      <c r="E340" s="59" t="s">
        <v>83</v>
      </c>
    </row>
    <row r="341" spans="1:12" x14ac:dyDescent="0.3">
      <c r="A341" s="13" t="s">
        <v>37</v>
      </c>
      <c r="B341" s="13">
        <v>339</v>
      </c>
      <c r="C341" s="13">
        <v>292</v>
      </c>
      <c r="D341" s="57">
        <f t="shared" si="7"/>
        <v>0.86135693215339237</v>
      </c>
      <c r="E341" s="59" t="s">
        <v>83</v>
      </c>
    </row>
    <row r="342" spans="1:12" x14ac:dyDescent="0.3">
      <c r="A342" s="13" t="s">
        <v>61</v>
      </c>
      <c r="B342" s="13">
        <v>30</v>
      </c>
      <c r="C342" s="13">
        <v>27</v>
      </c>
      <c r="D342" s="57">
        <f t="shared" si="7"/>
        <v>0.9</v>
      </c>
      <c r="E342" s="59" t="s">
        <v>83</v>
      </c>
    </row>
    <row r="343" spans="1:12" x14ac:dyDescent="0.3">
      <c r="A343" s="13" t="s">
        <v>62</v>
      </c>
      <c r="B343" s="13">
        <v>157</v>
      </c>
      <c r="C343" s="13">
        <v>121</v>
      </c>
      <c r="D343" s="57">
        <f t="shared" si="7"/>
        <v>0.77070063694267521</v>
      </c>
      <c r="E343" s="59" t="s">
        <v>83</v>
      </c>
    </row>
    <row r="344" spans="1:12" x14ac:dyDescent="0.3">
      <c r="A344" s="55" t="s">
        <v>30</v>
      </c>
      <c r="B344" s="56">
        <v>6898</v>
      </c>
      <c r="C344" s="56">
        <v>5806</v>
      </c>
      <c r="D344" s="57">
        <f t="shared" si="7"/>
        <v>0.8416932444186721</v>
      </c>
      <c r="E344" s="59" t="s">
        <v>84</v>
      </c>
      <c r="F344" s="55"/>
      <c r="G344" s="55"/>
      <c r="H344" s="55"/>
      <c r="I344" s="55"/>
      <c r="J344" s="56"/>
      <c r="K344" s="56"/>
      <c r="L344" s="57"/>
    </row>
    <row r="345" spans="1:12" x14ac:dyDescent="0.3">
      <c r="A345" s="55" t="s">
        <v>31</v>
      </c>
      <c r="B345" s="56">
        <v>461</v>
      </c>
      <c r="C345" s="56">
        <v>374</v>
      </c>
      <c r="D345" s="57">
        <f t="shared" si="7"/>
        <v>0.81127982646420826</v>
      </c>
      <c r="E345" s="59" t="s">
        <v>84</v>
      </c>
      <c r="F345" s="55"/>
      <c r="G345" s="56"/>
      <c r="H345" s="56"/>
      <c r="I345" s="57"/>
      <c r="J345"/>
      <c r="K345"/>
      <c r="L345"/>
    </row>
    <row r="346" spans="1:12" x14ac:dyDescent="0.3">
      <c r="A346" s="55" t="s">
        <v>32</v>
      </c>
      <c r="B346" s="56">
        <v>33</v>
      </c>
      <c r="C346" s="56">
        <v>27</v>
      </c>
      <c r="D346" s="57">
        <f t="shared" si="7"/>
        <v>0.81818181818181823</v>
      </c>
      <c r="E346" s="59" t="s">
        <v>84</v>
      </c>
      <c r="F346" s="55"/>
      <c r="G346" s="56"/>
      <c r="H346" s="56"/>
      <c r="I346" s="57"/>
      <c r="J346"/>
      <c r="K346"/>
      <c r="L346"/>
    </row>
    <row r="347" spans="1:12" x14ac:dyDescent="0.3">
      <c r="A347" s="55" t="s">
        <v>33</v>
      </c>
      <c r="B347" s="56">
        <v>758</v>
      </c>
      <c r="C347" s="56">
        <v>702</v>
      </c>
      <c r="D347" s="57">
        <f t="shared" si="7"/>
        <v>0.92612137203166223</v>
      </c>
      <c r="E347" s="59" t="s">
        <v>84</v>
      </c>
      <c r="F347" s="55"/>
      <c r="G347" s="56"/>
      <c r="H347" s="56"/>
      <c r="I347" s="57"/>
      <c r="J347"/>
      <c r="K347"/>
      <c r="L347"/>
    </row>
    <row r="348" spans="1:12" x14ac:dyDescent="0.3">
      <c r="A348" s="55" t="s">
        <v>57</v>
      </c>
      <c r="B348" s="56">
        <v>194</v>
      </c>
      <c r="C348" s="56">
        <v>161</v>
      </c>
      <c r="D348" s="57">
        <f t="shared" si="7"/>
        <v>0.82989690721649489</v>
      </c>
      <c r="E348" s="59" t="s">
        <v>84</v>
      </c>
      <c r="F348" s="55"/>
      <c r="G348" s="56"/>
      <c r="H348" s="56"/>
      <c r="I348" s="57"/>
      <c r="J348"/>
      <c r="K348"/>
      <c r="L348"/>
    </row>
    <row r="349" spans="1:12" x14ac:dyDescent="0.3">
      <c r="A349" s="55" t="s">
        <v>58</v>
      </c>
      <c r="B349" s="56">
        <v>65</v>
      </c>
      <c r="C349" s="56">
        <v>53</v>
      </c>
      <c r="D349" s="57">
        <f t="shared" si="7"/>
        <v>0.81538461538461537</v>
      </c>
      <c r="E349" s="59" t="s">
        <v>84</v>
      </c>
      <c r="F349" s="55"/>
      <c r="G349" s="56"/>
      <c r="H349" s="56"/>
      <c r="I349" s="57"/>
      <c r="J349"/>
      <c r="K349"/>
      <c r="L349"/>
    </row>
    <row r="350" spans="1:12" x14ac:dyDescent="0.3">
      <c r="A350" s="55" t="s">
        <v>35</v>
      </c>
      <c r="B350" s="56">
        <v>120</v>
      </c>
      <c r="C350" s="56">
        <v>80</v>
      </c>
      <c r="D350" s="57">
        <f t="shared" si="7"/>
        <v>0.66666666666666663</v>
      </c>
      <c r="E350" s="59" t="s">
        <v>84</v>
      </c>
      <c r="F350" s="55"/>
      <c r="G350" s="56"/>
      <c r="H350" s="56"/>
      <c r="I350" s="57"/>
      <c r="J350"/>
      <c r="K350"/>
      <c r="L350"/>
    </row>
    <row r="351" spans="1:12" x14ac:dyDescent="0.3">
      <c r="A351" s="55" t="s">
        <v>36</v>
      </c>
      <c r="B351" s="56">
        <v>1355</v>
      </c>
      <c r="C351" s="56">
        <v>1164</v>
      </c>
      <c r="D351" s="57">
        <f t="shared" si="7"/>
        <v>0.85904059040590408</v>
      </c>
      <c r="E351" s="59" t="s">
        <v>84</v>
      </c>
      <c r="F351" s="55"/>
      <c r="G351" s="56"/>
      <c r="H351" s="56"/>
      <c r="I351" s="57"/>
      <c r="J351"/>
      <c r="K351"/>
      <c r="L351"/>
    </row>
    <row r="352" spans="1:12" x14ac:dyDescent="0.3">
      <c r="A352" s="55" t="s">
        <v>64</v>
      </c>
      <c r="B352" s="56">
        <v>1290</v>
      </c>
      <c r="C352" s="56">
        <v>1086</v>
      </c>
      <c r="D352" s="57">
        <f t="shared" si="7"/>
        <v>0.8418604651162791</v>
      </c>
      <c r="E352" s="59" t="s">
        <v>84</v>
      </c>
      <c r="F352" s="55"/>
      <c r="G352" s="56"/>
      <c r="H352" s="56"/>
      <c r="I352" s="57"/>
      <c r="J352"/>
      <c r="K352"/>
      <c r="L352"/>
    </row>
    <row r="353" spans="1:12" x14ac:dyDescent="0.3">
      <c r="A353" s="55" t="s">
        <v>59</v>
      </c>
      <c r="B353" s="56">
        <v>1229</v>
      </c>
      <c r="C353" s="56">
        <v>1115</v>
      </c>
      <c r="D353" s="57">
        <f t="shared" si="7"/>
        <v>0.90724165988608629</v>
      </c>
      <c r="E353" s="59" t="s">
        <v>84</v>
      </c>
      <c r="F353" s="55"/>
      <c r="G353" s="56"/>
      <c r="H353" s="56"/>
      <c r="I353" s="57"/>
      <c r="J353"/>
      <c r="K353"/>
      <c r="L353"/>
    </row>
    <row r="354" spans="1:12" x14ac:dyDescent="0.3">
      <c r="A354" s="55" t="s">
        <v>60</v>
      </c>
      <c r="B354" s="56">
        <v>336</v>
      </c>
      <c r="C354" s="56">
        <v>279</v>
      </c>
      <c r="D354" s="57">
        <f t="shared" si="7"/>
        <v>0.8303571428571429</v>
      </c>
      <c r="E354" s="59" t="s">
        <v>84</v>
      </c>
      <c r="F354" s="55"/>
      <c r="G354" s="56"/>
      <c r="H354" s="56"/>
      <c r="I354" s="57"/>
      <c r="J354"/>
      <c r="K354"/>
      <c r="L354"/>
    </row>
    <row r="355" spans="1:12" x14ac:dyDescent="0.3">
      <c r="A355" s="55" t="s">
        <v>37</v>
      </c>
      <c r="B355" s="56">
        <v>602</v>
      </c>
      <c r="C355" s="56">
        <v>378</v>
      </c>
      <c r="D355" s="57">
        <f t="shared" si="7"/>
        <v>0.62790697674418605</v>
      </c>
      <c r="E355" s="59" t="s">
        <v>84</v>
      </c>
      <c r="F355" s="55"/>
      <c r="G355" s="56"/>
      <c r="H355" s="56"/>
      <c r="I355" s="57"/>
      <c r="J355"/>
      <c r="K355"/>
      <c r="L355"/>
    </row>
    <row r="356" spans="1:12" x14ac:dyDescent="0.3">
      <c r="A356" s="55" t="s">
        <v>61</v>
      </c>
      <c r="B356" s="56">
        <v>436</v>
      </c>
      <c r="C356" s="56">
        <v>373</v>
      </c>
      <c r="D356" s="57">
        <f t="shared" si="7"/>
        <v>0.85550458715596334</v>
      </c>
      <c r="E356" s="59" t="s">
        <v>84</v>
      </c>
      <c r="F356" s="55"/>
      <c r="G356" s="56"/>
      <c r="H356" s="56"/>
      <c r="I356" s="57"/>
      <c r="J356"/>
      <c r="K356"/>
      <c r="L356"/>
    </row>
    <row r="357" spans="1:12" x14ac:dyDescent="0.3">
      <c r="A357" s="55" t="s">
        <v>62</v>
      </c>
      <c r="B357" s="56">
        <v>19</v>
      </c>
      <c r="C357" s="56">
        <v>14</v>
      </c>
      <c r="D357" s="57">
        <f t="shared" si="7"/>
        <v>0.73684210526315785</v>
      </c>
      <c r="E357" s="59" t="s">
        <v>84</v>
      </c>
      <c r="F357" s="55"/>
      <c r="G357" s="56"/>
      <c r="H357" s="56"/>
      <c r="I357" s="57"/>
      <c r="J357"/>
      <c r="K357"/>
      <c r="L357"/>
    </row>
    <row r="358" spans="1:12" x14ac:dyDescent="0.3">
      <c r="A358" s="55" t="s">
        <v>30</v>
      </c>
      <c r="B358" s="56">
        <v>6898</v>
      </c>
      <c r="C358" s="56">
        <v>5806</v>
      </c>
      <c r="D358" s="57">
        <f t="shared" si="7"/>
        <v>0.8416932444186721</v>
      </c>
      <c r="E358" s="59" t="s">
        <v>85</v>
      </c>
    </row>
    <row r="359" spans="1:12" x14ac:dyDescent="0.3">
      <c r="A359" s="55" t="s">
        <v>31</v>
      </c>
      <c r="B359" s="56">
        <v>461</v>
      </c>
      <c r="C359" s="56">
        <v>374</v>
      </c>
      <c r="D359" s="57">
        <f t="shared" si="7"/>
        <v>0.81127982646420826</v>
      </c>
      <c r="E359" s="59" t="s">
        <v>85</v>
      </c>
      <c r="F359"/>
      <c r="G359"/>
      <c r="H359"/>
    </row>
    <row r="360" spans="1:12" x14ac:dyDescent="0.3">
      <c r="A360" s="55" t="s">
        <v>32</v>
      </c>
      <c r="B360" s="56">
        <v>33</v>
      </c>
      <c r="C360" s="56">
        <v>27</v>
      </c>
      <c r="D360" s="57">
        <f t="shared" si="7"/>
        <v>0.81818181818181823</v>
      </c>
      <c r="E360" s="59" t="s">
        <v>85</v>
      </c>
      <c r="F360"/>
      <c r="G360"/>
      <c r="H360"/>
    </row>
    <row r="361" spans="1:12" x14ac:dyDescent="0.3">
      <c r="A361" s="55" t="s">
        <v>33</v>
      </c>
      <c r="B361" s="56">
        <v>758</v>
      </c>
      <c r="C361" s="56">
        <v>702</v>
      </c>
      <c r="D361" s="57">
        <f t="shared" si="7"/>
        <v>0.92612137203166223</v>
      </c>
      <c r="E361" s="59" t="s">
        <v>85</v>
      </c>
      <c r="F361"/>
      <c r="G361"/>
      <c r="H361"/>
    </row>
    <row r="362" spans="1:12" x14ac:dyDescent="0.3">
      <c r="A362" s="55" t="s">
        <v>57</v>
      </c>
      <c r="B362" s="56">
        <v>194</v>
      </c>
      <c r="C362" s="56">
        <v>161</v>
      </c>
      <c r="D362" s="57">
        <f t="shared" si="7"/>
        <v>0.82989690721649489</v>
      </c>
      <c r="E362" s="59" t="s">
        <v>85</v>
      </c>
      <c r="F362"/>
      <c r="G362"/>
      <c r="H362"/>
    </row>
    <row r="363" spans="1:12" x14ac:dyDescent="0.3">
      <c r="A363" s="55" t="s">
        <v>63</v>
      </c>
      <c r="B363" s="56">
        <v>65</v>
      </c>
      <c r="C363" s="56">
        <v>53</v>
      </c>
      <c r="D363" s="57">
        <f t="shared" si="7"/>
        <v>0.81538461538461537</v>
      </c>
      <c r="E363" s="59" t="s">
        <v>85</v>
      </c>
      <c r="F363"/>
      <c r="G363"/>
      <c r="H363"/>
    </row>
    <row r="364" spans="1:12" x14ac:dyDescent="0.3">
      <c r="A364" s="55" t="s">
        <v>58</v>
      </c>
      <c r="B364" s="56">
        <v>120</v>
      </c>
      <c r="C364" s="56">
        <v>80</v>
      </c>
      <c r="D364" s="57">
        <f t="shared" si="7"/>
        <v>0.66666666666666663</v>
      </c>
      <c r="E364" s="59" t="s">
        <v>85</v>
      </c>
      <c r="F364"/>
      <c r="G364"/>
      <c r="H364"/>
    </row>
    <row r="365" spans="1:12" x14ac:dyDescent="0.3">
      <c r="A365" s="55" t="s">
        <v>35</v>
      </c>
      <c r="B365" s="56">
        <v>1355</v>
      </c>
      <c r="C365" s="56">
        <v>1164</v>
      </c>
      <c r="D365" s="57">
        <f t="shared" si="7"/>
        <v>0.85904059040590408</v>
      </c>
      <c r="E365" s="59" t="s">
        <v>85</v>
      </c>
      <c r="F365"/>
      <c r="G365"/>
      <c r="H365"/>
    </row>
    <row r="366" spans="1:12" x14ac:dyDescent="0.3">
      <c r="A366" s="55" t="s">
        <v>36</v>
      </c>
      <c r="B366" s="56">
        <v>1290</v>
      </c>
      <c r="C366" s="56">
        <v>1086</v>
      </c>
      <c r="D366" s="57">
        <f t="shared" si="7"/>
        <v>0.8418604651162791</v>
      </c>
      <c r="E366" s="59" t="s">
        <v>85</v>
      </c>
      <c r="F366"/>
      <c r="G366"/>
      <c r="H366"/>
    </row>
    <row r="367" spans="1:12" x14ac:dyDescent="0.3">
      <c r="A367" s="55" t="s">
        <v>64</v>
      </c>
      <c r="B367" s="56">
        <v>1229</v>
      </c>
      <c r="C367" s="56">
        <v>1115</v>
      </c>
      <c r="D367" s="57">
        <f t="shared" si="7"/>
        <v>0.90724165988608629</v>
      </c>
      <c r="E367" s="59" t="s">
        <v>85</v>
      </c>
      <c r="F367"/>
      <c r="G367"/>
      <c r="H367"/>
    </row>
    <row r="368" spans="1:12" x14ac:dyDescent="0.3">
      <c r="A368" s="55" t="s">
        <v>59</v>
      </c>
      <c r="B368" s="56">
        <v>336</v>
      </c>
      <c r="C368" s="56">
        <v>279</v>
      </c>
      <c r="D368" s="57">
        <f t="shared" si="7"/>
        <v>0.8303571428571429</v>
      </c>
      <c r="E368" s="59" t="s">
        <v>85</v>
      </c>
      <c r="F368"/>
      <c r="G368"/>
      <c r="H368"/>
    </row>
    <row r="369" spans="1:8" x14ac:dyDescent="0.3">
      <c r="A369" s="55" t="s">
        <v>60</v>
      </c>
      <c r="B369" s="56">
        <v>602</v>
      </c>
      <c r="C369" s="56">
        <v>378</v>
      </c>
      <c r="D369" s="57">
        <f t="shared" si="7"/>
        <v>0.62790697674418605</v>
      </c>
      <c r="E369" s="59" t="s">
        <v>85</v>
      </c>
      <c r="F369"/>
      <c r="G369"/>
      <c r="H369"/>
    </row>
    <row r="370" spans="1:8" x14ac:dyDescent="0.3">
      <c r="A370" s="55" t="s">
        <v>37</v>
      </c>
      <c r="B370" s="56">
        <v>436</v>
      </c>
      <c r="C370" s="56">
        <v>373</v>
      </c>
      <c r="D370" s="57">
        <f t="shared" si="7"/>
        <v>0.85550458715596334</v>
      </c>
      <c r="E370" s="59" t="s">
        <v>85</v>
      </c>
      <c r="F370"/>
      <c r="G370"/>
      <c r="H370"/>
    </row>
    <row r="371" spans="1:8" x14ac:dyDescent="0.3">
      <c r="A371" s="55" t="s">
        <v>61</v>
      </c>
      <c r="B371" s="56">
        <v>19</v>
      </c>
      <c r="C371" s="56">
        <v>14</v>
      </c>
      <c r="D371" s="57">
        <f t="shared" si="7"/>
        <v>0.73684210526315785</v>
      </c>
      <c r="E371" s="59" t="s">
        <v>85</v>
      </c>
      <c r="F371"/>
      <c r="G371"/>
      <c r="H371"/>
    </row>
    <row r="372" spans="1:8" x14ac:dyDescent="0.3">
      <c r="A372" s="55" t="s">
        <v>30</v>
      </c>
      <c r="B372" s="56">
        <v>6413</v>
      </c>
      <c r="C372" s="56">
        <v>4622</v>
      </c>
      <c r="D372" s="57">
        <f t="shared" si="7"/>
        <v>0.72072353032901915</v>
      </c>
      <c r="E372" s="59" t="s">
        <v>86</v>
      </c>
      <c r="F372" s="57"/>
    </row>
    <row r="373" spans="1:8" x14ac:dyDescent="0.3">
      <c r="A373" s="55" t="s">
        <v>31</v>
      </c>
      <c r="B373" s="56">
        <v>548</v>
      </c>
      <c r="C373" s="56">
        <v>385</v>
      </c>
      <c r="D373" s="57">
        <f t="shared" si="7"/>
        <v>0.70255474452554745</v>
      </c>
      <c r="E373" s="59" t="s">
        <v>86</v>
      </c>
      <c r="F373" s="57"/>
    </row>
    <row r="374" spans="1:8" x14ac:dyDescent="0.3">
      <c r="A374" s="55" t="s">
        <v>32</v>
      </c>
      <c r="B374" s="56">
        <v>40</v>
      </c>
      <c r="C374" s="56">
        <v>31</v>
      </c>
      <c r="D374" s="57">
        <f t="shared" si="7"/>
        <v>0.77500000000000002</v>
      </c>
      <c r="E374" s="59" t="s">
        <v>86</v>
      </c>
      <c r="F374" s="57"/>
    </row>
    <row r="375" spans="1:8" x14ac:dyDescent="0.3">
      <c r="A375" s="55" t="s">
        <v>33</v>
      </c>
      <c r="B375" s="56">
        <v>612</v>
      </c>
      <c r="C375" s="56">
        <v>572</v>
      </c>
      <c r="D375" s="57">
        <f t="shared" si="7"/>
        <v>0.934640522875817</v>
      </c>
      <c r="E375" s="59" t="s">
        <v>86</v>
      </c>
      <c r="F375" s="57"/>
    </row>
    <row r="376" spans="1:8" x14ac:dyDescent="0.3">
      <c r="A376" s="55" t="s">
        <v>57</v>
      </c>
      <c r="B376" s="56">
        <v>106</v>
      </c>
      <c r="C376" s="56">
        <v>73</v>
      </c>
      <c r="D376" s="57">
        <f t="shared" si="7"/>
        <v>0.68867924528301883</v>
      </c>
      <c r="E376" s="59" t="s">
        <v>86</v>
      </c>
      <c r="F376" s="57"/>
    </row>
    <row r="377" spans="1:8" x14ac:dyDescent="0.3">
      <c r="A377" s="55" t="s">
        <v>63</v>
      </c>
      <c r="B377" s="56">
        <v>9</v>
      </c>
      <c r="C377" s="56">
        <v>6</v>
      </c>
      <c r="D377" s="57">
        <f t="shared" si="7"/>
        <v>0.66666666666666663</v>
      </c>
      <c r="E377" s="59" t="s">
        <v>86</v>
      </c>
      <c r="F377" s="57"/>
    </row>
    <row r="378" spans="1:8" x14ac:dyDescent="0.3">
      <c r="A378" s="55" t="s">
        <v>58</v>
      </c>
      <c r="B378" s="56">
        <v>99</v>
      </c>
      <c r="C378" s="56">
        <v>87</v>
      </c>
      <c r="D378" s="57">
        <f t="shared" si="7"/>
        <v>0.87878787878787878</v>
      </c>
      <c r="E378" s="59" t="s">
        <v>86</v>
      </c>
      <c r="F378" s="57"/>
    </row>
    <row r="379" spans="1:8" x14ac:dyDescent="0.3">
      <c r="A379" s="55" t="s">
        <v>35</v>
      </c>
      <c r="B379" s="56">
        <v>1499</v>
      </c>
      <c r="C379" s="56">
        <v>1064</v>
      </c>
      <c r="D379" s="57">
        <f t="shared" si="7"/>
        <v>0.70980653769179458</v>
      </c>
      <c r="E379" s="59" t="s">
        <v>86</v>
      </c>
      <c r="F379" s="57"/>
    </row>
    <row r="380" spans="1:8" x14ac:dyDescent="0.3">
      <c r="A380" s="55" t="s">
        <v>36</v>
      </c>
      <c r="B380" s="56">
        <v>1107</v>
      </c>
      <c r="C380" s="56">
        <v>708</v>
      </c>
      <c r="D380" s="57">
        <f t="shared" si="7"/>
        <v>0.63956639566395668</v>
      </c>
      <c r="E380" s="59" t="s">
        <v>86</v>
      </c>
      <c r="F380" s="57"/>
    </row>
    <row r="381" spans="1:8" x14ac:dyDescent="0.3">
      <c r="A381" s="55" t="s">
        <v>64</v>
      </c>
      <c r="B381" s="56">
        <v>1047</v>
      </c>
      <c r="C381" s="56">
        <v>769</v>
      </c>
      <c r="D381" s="57">
        <f t="shared" si="7"/>
        <v>0.73447946513849094</v>
      </c>
      <c r="E381" s="59" t="s">
        <v>86</v>
      </c>
      <c r="F381" s="57"/>
    </row>
    <row r="382" spans="1:8" x14ac:dyDescent="0.3">
      <c r="A382" s="55" t="s">
        <v>59</v>
      </c>
      <c r="B382" s="56">
        <v>450</v>
      </c>
      <c r="C382" s="56">
        <v>282</v>
      </c>
      <c r="D382" s="57">
        <f t="shared" si="7"/>
        <v>0.62666666666666671</v>
      </c>
      <c r="E382" s="59" t="s">
        <v>86</v>
      </c>
      <c r="F382" s="57"/>
    </row>
    <row r="383" spans="1:8" x14ac:dyDescent="0.3">
      <c r="A383" s="55" t="s">
        <v>60</v>
      </c>
      <c r="B383" s="56">
        <v>528</v>
      </c>
      <c r="C383" s="56">
        <v>361</v>
      </c>
      <c r="D383" s="57">
        <f t="shared" si="7"/>
        <v>0.68371212121212122</v>
      </c>
      <c r="E383" s="59" t="s">
        <v>86</v>
      </c>
      <c r="F383" s="57"/>
    </row>
    <row r="384" spans="1:8" x14ac:dyDescent="0.3">
      <c r="A384" s="55" t="s">
        <v>37</v>
      </c>
      <c r="B384" s="56">
        <v>354</v>
      </c>
      <c r="C384" s="56">
        <v>275</v>
      </c>
      <c r="D384" s="57">
        <f t="shared" si="7"/>
        <v>0.7768361581920904</v>
      </c>
      <c r="E384" s="59" t="s">
        <v>86</v>
      </c>
      <c r="F384" s="57"/>
    </row>
    <row r="385" spans="1:7" x14ac:dyDescent="0.3">
      <c r="A385" s="55" t="s">
        <v>61</v>
      </c>
      <c r="B385" s="56">
        <v>14</v>
      </c>
      <c r="C385" s="56">
        <v>9</v>
      </c>
      <c r="D385" s="57">
        <f t="shared" si="7"/>
        <v>0.6428571428571429</v>
      </c>
      <c r="E385" s="59" t="s">
        <v>86</v>
      </c>
      <c r="F385" s="57"/>
    </row>
    <row r="386" spans="1:7" x14ac:dyDescent="0.3">
      <c r="A386" s="55" t="s">
        <v>30</v>
      </c>
      <c r="B386" s="56">
        <v>6413</v>
      </c>
      <c r="C386" s="56">
        <v>5573</v>
      </c>
      <c r="D386" s="57">
        <f t="shared" si="7"/>
        <v>0.86901606112583818</v>
      </c>
      <c r="E386" s="59" t="s">
        <v>87</v>
      </c>
    </row>
    <row r="387" spans="1:7" x14ac:dyDescent="0.3">
      <c r="A387" s="55" t="s">
        <v>31</v>
      </c>
      <c r="B387" s="56">
        <v>548</v>
      </c>
      <c r="C387" s="56">
        <v>487</v>
      </c>
      <c r="D387" s="57">
        <f t="shared" si="7"/>
        <v>0.88868613138686137</v>
      </c>
      <c r="E387" s="59" t="s">
        <v>87</v>
      </c>
      <c r="F387"/>
      <c r="G387"/>
    </row>
    <row r="388" spans="1:7" x14ac:dyDescent="0.3">
      <c r="A388" s="55" t="s">
        <v>32</v>
      </c>
      <c r="B388" s="56">
        <v>39</v>
      </c>
      <c r="C388" s="56">
        <v>34</v>
      </c>
      <c r="D388" s="57">
        <f t="shared" si="7"/>
        <v>0.87179487179487181</v>
      </c>
      <c r="E388" s="59" t="s">
        <v>87</v>
      </c>
      <c r="F388"/>
      <c r="G388"/>
    </row>
    <row r="389" spans="1:7" x14ac:dyDescent="0.3">
      <c r="A389" s="55" t="s">
        <v>33</v>
      </c>
      <c r="B389" s="56">
        <v>612</v>
      </c>
      <c r="C389" s="56">
        <v>582</v>
      </c>
      <c r="D389" s="57">
        <f t="shared" ref="D389:D399" si="8">SUM(C389/B389)</f>
        <v>0.9509803921568627</v>
      </c>
      <c r="E389" s="59" t="s">
        <v>87</v>
      </c>
      <c r="F389"/>
      <c r="G389"/>
    </row>
    <row r="390" spans="1:7" x14ac:dyDescent="0.3">
      <c r="A390" s="55" t="s">
        <v>57</v>
      </c>
      <c r="B390" s="56">
        <v>106</v>
      </c>
      <c r="C390" s="56">
        <v>95</v>
      </c>
      <c r="D390" s="57">
        <f t="shared" si="8"/>
        <v>0.89622641509433965</v>
      </c>
      <c r="E390" s="59" t="s">
        <v>87</v>
      </c>
      <c r="F390"/>
      <c r="G390"/>
    </row>
    <row r="391" spans="1:7" x14ac:dyDescent="0.3">
      <c r="A391" s="55" t="s">
        <v>63</v>
      </c>
      <c r="B391" s="56">
        <v>9</v>
      </c>
      <c r="C391" s="56">
        <v>8</v>
      </c>
      <c r="D391" s="57">
        <f t="shared" si="8"/>
        <v>0.88888888888888884</v>
      </c>
      <c r="E391" s="59" t="s">
        <v>87</v>
      </c>
      <c r="F391"/>
      <c r="G391"/>
    </row>
    <row r="392" spans="1:7" x14ac:dyDescent="0.3">
      <c r="A392" s="55" t="s">
        <v>58</v>
      </c>
      <c r="B392" s="56">
        <v>99</v>
      </c>
      <c r="C392" s="56">
        <v>73</v>
      </c>
      <c r="D392" s="57">
        <f t="shared" si="8"/>
        <v>0.73737373737373735</v>
      </c>
      <c r="E392" s="59" t="s">
        <v>87</v>
      </c>
      <c r="F392"/>
      <c r="G392"/>
    </row>
    <row r="393" spans="1:7" x14ac:dyDescent="0.3">
      <c r="A393" s="55" t="s">
        <v>35</v>
      </c>
      <c r="B393" s="56">
        <v>1499</v>
      </c>
      <c r="C393" s="56">
        <v>1287</v>
      </c>
      <c r="D393" s="57">
        <f t="shared" si="8"/>
        <v>0.8585723815877252</v>
      </c>
      <c r="E393" s="59" t="s">
        <v>87</v>
      </c>
      <c r="F393"/>
      <c r="G393"/>
    </row>
    <row r="394" spans="1:7" x14ac:dyDescent="0.3">
      <c r="A394" s="55" t="s">
        <v>36</v>
      </c>
      <c r="B394" s="56">
        <v>1107</v>
      </c>
      <c r="C394" s="56">
        <v>981</v>
      </c>
      <c r="D394" s="57">
        <f t="shared" si="8"/>
        <v>0.88617886178861793</v>
      </c>
      <c r="E394" s="59" t="s">
        <v>87</v>
      </c>
      <c r="F394"/>
      <c r="G394"/>
    </row>
    <row r="395" spans="1:7" x14ac:dyDescent="0.3">
      <c r="A395" s="55" t="s">
        <v>64</v>
      </c>
      <c r="B395" s="56">
        <v>1047</v>
      </c>
      <c r="C395" s="56">
        <v>975</v>
      </c>
      <c r="D395" s="57">
        <f t="shared" si="8"/>
        <v>0.93123209169054444</v>
      </c>
      <c r="E395" s="59" t="s">
        <v>87</v>
      </c>
      <c r="F395"/>
      <c r="G395"/>
    </row>
    <row r="396" spans="1:7" x14ac:dyDescent="0.3">
      <c r="A396" s="55" t="s">
        <v>59</v>
      </c>
      <c r="B396" s="56">
        <v>450</v>
      </c>
      <c r="C396" s="56">
        <v>384</v>
      </c>
      <c r="D396" s="57">
        <f t="shared" si="8"/>
        <v>0.85333333333333339</v>
      </c>
      <c r="E396" s="59" t="s">
        <v>87</v>
      </c>
      <c r="F396"/>
      <c r="G396"/>
    </row>
    <row r="397" spans="1:7" x14ac:dyDescent="0.3">
      <c r="A397" s="55" t="s">
        <v>60</v>
      </c>
      <c r="B397" s="56">
        <v>528</v>
      </c>
      <c r="C397" s="56">
        <v>345</v>
      </c>
      <c r="D397" s="57">
        <f t="shared" si="8"/>
        <v>0.65340909090909094</v>
      </c>
      <c r="E397" s="59" t="s">
        <v>87</v>
      </c>
      <c r="F397"/>
      <c r="G397"/>
    </row>
    <row r="398" spans="1:7" x14ac:dyDescent="0.3">
      <c r="A398" s="55" t="s">
        <v>37</v>
      </c>
      <c r="B398" s="56">
        <v>355</v>
      </c>
      <c r="C398" s="56">
        <v>309</v>
      </c>
      <c r="D398" s="57">
        <f t="shared" si="8"/>
        <v>0.87042253521126756</v>
      </c>
      <c r="E398" s="59" t="s">
        <v>87</v>
      </c>
      <c r="F398"/>
      <c r="G398"/>
    </row>
    <row r="399" spans="1:7" x14ac:dyDescent="0.3">
      <c r="A399" s="55" t="s">
        <v>61</v>
      </c>
      <c r="B399" s="56">
        <v>14</v>
      </c>
      <c r="C399" s="56">
        <v>13</v>
      </c>
      <c r="D399" s="57">
        <f t="shared" si="8"/>
        <v>0.9285714285714286</v>
      </c>
      <c r="E399" s="59" t="s">
        <v>87</v>
      </c>
      <c r="F399"/>
      <c r="G399"/>
    </row>
    <row r="400" spans="1:7" x14ac:dyDescent="0.3">
      <c r="A400" s="55" t="s">
        <v>30</v>
      </c>
      <c r="B400" s="56">
        <v>6433</v>
      </c>
      <c r="C400" s="56">
        <v>5459</v>
      </c>
      <c r="D400" s="57">
        <f t="shared" ref="D400:D463" si="9">SUM(C400/B400)</f>
        <v>0.84859319135706512</v>
      </c>
      <c r="E400" s="59" t="s">
        <v>88</v>
      </c>
    </row>
    <row r="401" spans="1:7" x14ac:dyDescent="0.3">
      <c r="A401" s="55" t="s">
        <v>31</v>
      </c>
      <c r="B401" s="56">
        <v>429</v>
      </c>
      <c r="C401" s="56">
        <v>379</v>
      </c>
      <c r="D401" s="57">
        <f t="shared" si="9"/>
        <v>0.8834498834498834</v>
      </c>
      <c r="E401" s="59" t="s">
        <v>88</v>
      </c>
    </row>
    <row r="402" spans="1:7" x14ac:dyDescent="0.3">
      <c r="A402" s="55" t="s">
        <v>32</v>
      </c>
      <c r="B402" s="56">
        <v>51</v>
      </c>
      <c r="C402" s="56">
        <v>42</v>
      </c>
      <c r="D402" s="57">
        <f t="shared" si="9"/>
        <v>0.82352941176470584</v>
      </c>
      <c r="E402" s="59" t="s">
        <v>88</v>
      </c>
    </row>
    <row r="403" spans="1:7" x14ac:dyDescent="0.3">
      <c r="A403" s="55" t="s">
        <v>33</v>
      </c>
      <c r="B403" s="56">
        <v>742</v>
      </c>
      <c r="C403" s="56">
        <v>702</v>
      </c>
      <c r="D403" s="57">
        <f t="shared" si="9"/>
        <v>0.9460916442048517</v>
      </c>
      <c r="E403" s="59" t="s">
        <v>88</v>
      </c>
    </row>
    <row r="404" spans="1:7" x14ac:dyDescent="0.3">
      <c r="A404" s="55" t="s">
        <v>57</v>
      </c>
      <c r="B404" s="56">
        <v>66</v>
      </c>
      <c r="C404" s="56">
        <v>55</v>
      </c>
      <c r="D404" s="57">
        <f t="shared" si="9"/>
        <v>0.83333333333333337</v>
      </c>
      <c r="E404" s="59" t="s">
        <v>88</v>
      </c>
    </row>
    <row r="405" spans="1:7" x14ac:dyDescent="0.3">
      <c r="A405" s="55" t="s">
        <v>58</v>
      </c>
      <c r="B405" s="56">
        <v>127</v>
      </c>
      <c r="C405" s="56">
        <v>89</v>
      </c>
      <c r="D405" s="57">
        <f t="shared" si="9"/>
        <v>0.70078740157480313</v>
      </c>
      <c r="E405" s="59" t="s">
        <v>88</v>
      </c>
    </row>
    <row r="406" spans="1:7" x14ac:dyDescent="0.3">
      <c r="A406" s="55" t="s">
        <v>35</v>
      </c>
      <c r="B406" s="56">
        <v>1431</v>
      </c>
      <c r="C406" s="56">
        <v>1214</v>
      </c>
      <c r="D406" s="57">
        <f t="shared" si="9"/>
        <v>0.84835779175401815</v>
      </c>
      <c r="E406" s="59" t="s">
        <v>88</v>
      </c>
    </row>
    <row r="407" spans="1:7" x14ac:dyDescent="0.3">
      <c r="A407" s="55" t="s">
        <v>36</v>
      </c>
      <c r="B407" s="56">
        <v>1216</v>
      </c>
      <c r="C407" s="56">
        <v>1036</v>
      </c>
      <c r="D407" s="57">
        <f t="shared" si="9"/>
        <v>0.85197368421052633</v>
      </c>
      <c r="E407" s="59" t="s">
        <v>88</v>
      </c>
    </row>
    <row r="408" spans="1:7" x14ac:dyDescent="0.3">
      <c r="A408" s="55" t="s">
        <v>64</v>
      </c>
      <c r="B408" s="56">
        <v>998</v>
      </c>
      <c r="C408" s="56">
        <v>925</v>
      </c>
      <c r="D408" s="57">
        <f t="shared" si="9"/>
        <v>0.92685370741482964</v>
      </c>
      <c r="E408" s="59" t="s">
        <v>88</v>
      </c>
    </row>
    <row r="409" spans="1:7" x14ac:dyDescent="0.3">
      <c r="A409" s="55" t="s">
        <v>59</v>
      </c>
      <c r="B409" s="56">
        <v>288</v>
      </c>
      <c r="C409" s="56">
        <v>251</v>
      </c>
      <c r="D409" s="57">
        <f t="shared" si="9"/>
        <v>0.87152777777777779</v>
      </c>
      <c r="E409" s="59" t="s">
        <v>88</v>
      </c>
    </row>
    <row r="410" spans="1:7" x14ac:dyDescent="0.3">
      <c r="A410" s="55" t="s">
        <v>60</v>
      </c>
      <c r="B410" s="56">
        <v>561</v>
      </c>
      <c r="C410" s="56">
        <v>309</v>
      </c>
      <c r="D410" s="57">
        <f t="shared" si="9"/>
        <v>0.55080213903743314</v>
      </c>
      <c r="E410" s="59" t="s">
        <v>88</v>
      </c>
    </row>
    <row r="411" spans="1:7" x14ac:dyDescent="0.3">
      <c r="A411" s="55" t="s">
        <v>37</v>
      </c>
      <c r="B411" s="56">
        <v>512</v>
      </c>
      <c r="C411" s="56">
        <v>446</v>
      </c>
      <c r="D411" s="57">
        <f t="shared" si="9"/>
        <v>0.87109375</v>
      </c>
      <c r="E411" s="59" t="s">
        <v>88</v>
      </c>
    </row>
    <row r="412" spans="1:7" x14ac:dyDescent="0.3">
      <c r="A412" s="55" t="s">
        <v>61</v>
      </c>
      <c r="B412" s="56">
        <v>12</v>
      </c>
      <c r="C412" s="56">
        <v>11</v>
      </c>
      <c r="D412" s="57">
        <f t="shared" si="9"/>
        <v>0.91666666666666663</v>
      </c>
      <c r="E412" s="59" t="s">
        <v>88</v>
      </c>
    </row>
    <row r="413" spans="1:7" x14ac:dyDescent="0.3">
      <c r="A413" s="62" t="s">
        <v>30</v>
      </c>
      <c r="B413" s="63">
        <v>6445</v>
      </c>
      <c r="C413" s="63">
        <v>5508</v>
      </c>
      <c r="D413" s="57">
        <f t="shared" si="9"/>
        <v>0.85461598138091543</v>
      </c>
      <c r="E413" s="59" t="s">
        <v>89</v>
      </c>
    </row>
    <row r="414" spans="1:7" x14ac:dyDescent="0.3">
      <c r="A414" s="62" t="s">
        <v>31</v>
      </c>
      <c r="B414" s="63">
        <v>539</v>
      </c>
      <c r="C414" s="63">
        <v>483</v>
      </c>
      <c r="D414" s="57">
        <f t="shared" si="9"/>
        <v>0.89610389610389607</v>
      </c>
      <c r="E414" s="59" t="s">
        <v>89</v>
      </c>
      <c r="F414" s="61"/>
      <c r="G414" s="61"/>
    </row>
    <row r="415" spans="1:7" x14ac:dyDescent="0.3">
      <c r="A415" s="62" t="s">
        <v>32</v>
      </c>
      <c r="B415" s="63">
        <v>40</v>
      </c>
      <c r="C415" s="63">
        <v>28</v>
      </c>
      <c r="D415" s="57">
        <f t="shared" si="9"/>
        <v>0.7</v>
      </c>
      <c r="E415" s="59" t="s">
        <v>89</v>
      </c>
      <c r="F415" s="61"/>
      <c r="G415" s="61"/>
    </row>
    <row r="416" spans="1:7" x14ac:dyDescent="0.3">
      <c r="A416" s="62" t="s">
        <v>33</v>
      </c>
      <c r="B416" s="63">
        <v>746</v>
      </c>
      <c r="C416" s="63">
        <v>694</v>
      </c>
      <c r="D416" s="57">
        <f t="shared" si="9"/>
        <v>0.93029490616621979</v>
      </c>
      <c r="E416" s="59" t="s">
        <v>89</v>
      </c>
      <c r="F416" s="61"/>
      <c r="G416" s="61"/>
    </row>
    <row r="417" spans="1:7" x14ac:dyDescent="0.3">
      <c r="A417" s="62" t="s">
        <v>57</v>
      </c>
      <c r="B417" s="63">
        <v>25</v>
      </c>
      <c r="C417" s="63">
        <v>24</v>
      </c>
      <c r="D417" s="57">
        <f t="shared" si="9"/>
        <v>0.96</v>
      </c>
      <c r="E417" s="59" t="s">
        <v>89</v>
      </c>
      <c r="F417" s="61"/>
      <c r="G417" s="61"/>
    </row>
    <row r="418" spans="1:7" x14ac:dyDescent="0.3">
      <c r="A418" s="62" t="s">
        <v>58</v>
      </c>
      <c r="B418" s="63">
        <v>129</v>
      </c>
      <c r="C418" s="63">
        <v>83</v>
      </c>
      <c r="D418" s="57">
        <f t="shared" si="9"/>
        <v>0.64341085271317833</v>
      </c>
      <c r="E418" s="59" t="s">
        <v>89</v>
      </c>
      <c r="F418" s="61"/>
      <c r="G418" s="61"/>
    </row>
    <row r="419" spans="1:7" x14ac:dyDescent="0.3">
      <c r="A419" s="62" t="s">
        <v>35</v>
      </c>
      <c r="B419" s="63">
        <v>1565</v>
      </c>
      <c r="C419" s="63">
        <v>1362</v>
      </c>
      <c r="D419" s="57">
        <f t="shared" si="9"/>
        <v>0.87028753993610219</v>
      </c>
      <c r="E419" s="59" t="s">
        <v>89</v>
      </c>
      <c r="F419" s="61"/>
      <c r="G419" s="61"/>
    </row>
    <row r="420" spans="1:7" x14ac:dyDescent="0.3">
      <c r="A420" s="62" t="s">
        <v>36</v>
      </c>
      <c r="B420" s="63">
        <v>1023</v>
      </c>
      <c r="C420" s="63">
        <v>881</v>
      </c>
      <c r="D420" s="57">
        <f t="shared" si="9"/>
        <v>0.86119257086999024</v>
      </c>
      <c r="E420" s="59" t="s">
        <v>89</v>
      </c>
      <c r="F420" s="61"/>
      <c r="G420" s="61"/>
    </row>
    <row r="421" spans="1:7" x14ac:dyDescent="0.3">
      <c r="A421" s="62" t="s">
        <v>64</v>
      </c>
      <c r="B421" s="63">
        <v>985</v>
      </c>
      <c r="C421" s="63">
        <v>882</v>
      </c>
      <c r="D421" s="57">
        <f t="shared" si="9"/>
        <v>0.89543147208121832</v>
      </c>
      <c r="E421" s="59" t="s">
        <v>89</v>
      </c>
      <c r="F421" s="61"/>
      <c r="G421" s="61"/>
    </row>
    <row r="422" spans="1:7" x14ac:dyDescent="0.3">
      <c r="A422" s="62" t="s">
        <v>59</v>
      </c>
      <c r="B422" s="63">
        <v>438</v>
      </c>
      <c r="C422" s="63">
        <v>378</v>
      </c>
      <c r="D422" s="57">
        <f t="shared" si="9"/>
        <v>0.86301369863013699</v>
      </c>
      <c r="E422" s="59" t="s">
        <v>89</v>
      </c>
      <c r="F422" s="61"/>
      <c r="G422" s="61"/>
    </row>
    <row r="423" spans="1:7" x14ac:dyDescent="0.3">
      <c r="A423" s="62" t="s">
        <v>60</v>
      </c>
      <c r="B423" s="63">
        <v>644</v>
      </c>
      <c r="C423" s="63">
        <v>425</v>
      </c>
      <c r="D423" s="57">
        <f t="shared" si="9"/>
        <v>0.65993788819875776</v>
      </c>
      <c r="E423" s="59" t="s">
        <v>89</v>
      </c>
      <c r="F423" s="61"/>
      <c r="G423" s="61"/>
    </row>
    <row r="424" spans="1:7" x14ac:dyDescent="0.3">
      <c r="A424" s="62" t="s">
        <v>37</v>
      </c>
      <c r="B424" s="63">
        <v>250</v>
      </c>
      <c r="C424" s="63">
        <v>212</v>
      </c>
      <c r="D424" s="57">
        <f t="shared" si="9"/>
        <v>0.84799999999999998</v>
      </c>
      <c r="E424" s="59" t="s">
        <v>89</v>
      </c>
      <c r="F424" s="61"/>
      <c r="G424" s="61"/>
    </row>
    <row r="425" spans="1:7" x14ac:dyDescent="0.3">
      <c r="A425" s="62" t="s">
        <v>61</v>
      </c>
      <c r="B425" s="63">
        <v>61</v>
      </c>
      <c r="C425" s="63">
        <v>56</v>
      </c>
      <c r="D425" s="57">
        <f t="shared" si="9"/>
        <v>0.91803278688524592</v>
      </c>
      <c r="E425" s="59" t="s">
        <v>89</v>
      </c>
      <c r="F425" s="61"/>
      <c r="G425" s="61"/>
    </row>
    <row r="426" spans="1:7" x14ac:dyDescent="0.3">
      <c r="A426" s="55" t="s">
        <v>30</v>
      </c>
      <c r="B426" s="56">
        <v>7454</v>
      </c>
      <c r="C426" s="56">
        <v>6452</v>
      </c>
      <c r="D426" s="57">
        <f t="shared" si="9"/>
        <v>0.86557552991682318</v>
      </c>
      <c r="E426" s="59" t="s">
        <v>90</v>
      </c>
    </row>
    <row r="427" spans="1:7" x14ac:dyDescent="0.3">
      <c r="A427" s="55" t="s">
        <v>31</v>
      </c>
      <c r="B427" s="56">
        <v>658</v>
      </c>
      <c r="C427" s="56">
        <v>590</v>
      </c>
      <c r="D427" s="57">
        <f t="shared" si="9"/>
        <v>0.89665653495440734</v>
      </c>
      <c r="E427" s="59" t="s">
        <v>90</v>
      </c>
      <c r="F427"/>
      <c r="G427"/>
    </row>
    <row r="428" spans="1:7" x14ac:dyDescent="0.3">
      <c r="A428" s="55" t="s">
        <v>32</v>
      </c>
      <c r="B428" s="56">
        <v>46</v>
      </c>
      <c r="C428" s="56">
        <v>31</v>
      </c>
      <c r="D428" s="57">
        <f t="shared" si="9"/>
        <v>0.67391304347826086</v>
      </c>
      <c r="E428" s="59" t="s">
        <v>90</v>
      </c>
      <c r="F428"/>
      <c r="G428"/>
    </row>
    <row r="429" spans="1:7" x14ac:dyDescent="0.3">
      <c r="A429" s="55" t="s">
        <v>33</v>
      </c>
      <c r="B429" s="56">
        <v>955</v>
      </c>
      <c r="C429" s="56">
        <v>902</v>
      </c>
      <c r="D429" s="57">
        <f t="shared" si="9"/>
        <v>0.94450261780104716</v>
      </c>
      <c r="E429" s="59" t="s">
        <v>90</v>
      </c>
      <c r="F429"/>
      <c r="G429"/>
    </row>
    <row r="430" spans="1:7" x14ac:dyDescent="0.3">
      <c r="A430" s="55" t="s">
        <v>57</v>
      </c>
      <c r="B430" s="56">
        <v>48</v>
      </c>
      <c r="C430" s="56">
        <v>43</v>
      </c>
      <c r="D430" s="57">
        <f t="shared" si="9"/>
        <v>0.89583333333333337</v>
      </c>
      <c r="E430" s="59" t="s">
        <v>90</v>
      </c>
      <c r="F430"/>
      <c r="G430"/>
    </row>
    <row r="431" spans="1:7" x14ac:dyDescent="0.3">
      <c r="A431" s="55" t="s">
        <v>63</v>
      </c>
      <c r="B431" s="56">
        <v>40</v>
      </c>
      <c r="C431" s="56">
        <v>36</v>
      </c>
      <c r="D431" s="57">
        <f t="shared" si="9"/>
        <v>0.9</v>
      </c>
      <c r="E431" s="59" t="s">
        <v>90</v>
      </c>
      <c r="F431"/>
      <c r="G431"/>
    </row>
    <row r="432" spans="1:7" x14ac:dyDescent="0.3">
      <c r="A432" s="55" t="s">
        <v>58</v>
      </c>
      <c r="B432" s="56">
        <v>122</v>
      </c>
      <c r="C432" s="56">
        <v>90</v>
      </c>
      <c r="D432" s="57">
        <f t="shared" si="9"/>
        <v>0.73770491803278693</v>
      </c>
      <c r="E432" s="59" t="s">
        <v>90</v>
      </c>
      <c r="F432"/>
      <c r="G432"/>
    </row>
    <row r="433" spans="1:7" x14ac:dyDescent="0.3">
      <c r="A433" s="55" t="s">
        <v>35</v>
      </c>
      <c r="B433" s="56">
        <v>1495</v>
      </c>
      <c r="C433" s="56">
        <v>1324</v>
      </c>
      <c r="D433" s="57">
        <f t="shared" si="9"/>
        <v>0.88561872909699002</v>
      </c>
      <c r="E433" s="59" t="s">
        <v>90</v>
      </c>
      <c r="F433"/>
      <c r="G433"/>
    </row>
    <row r="434" spans="1:7" x14ac:dyDescent="0.3">
      <c r="A434" s="55" t="s">
        <v>36</v>
      </c>
      <c r="B434" s="56">
        <v>1326</v>
      </c>
      <c r="C434" s="56">
        <v>1131</v>
      </c>
      <c r="D434" s="57">
        <f t="shared" si="9"/>
        <v>0.8529411764705882</v>
      </c>
      <c r="E434" s="59" t="s">
        <v>90</v>
      </c>
      <c r="F434"/>
      <c r="G434"/>
    </row>
    <row r="435" spans="1:7" x14ac:dyDescent="0.3">
      <c r="A435" s="55" t="s">
        <v>64</v>
      </c>
      <c r="B435" s="56">
        <v>1186</v>
      </c>
      <c r="C435" s="56">
        <v>1093</v>
      </c>
      <c r="D435" s="57">
        <f t="shared" si="9"/>
        <v>0.92158516020236092</v>
      </c>
      <c r="E435" s="59" t="s">
        <v>90</v>
      </c>
      <c r="F435"/>
      <c r="G435"/>
    </row>
    <row r="436" spans="1:7" x14ac:dyDescent="0.3">
      <c r="A436" s="55" t="s">
        <v>59</v>
      </c>
      <c r="B436" s="56">
        <v>477</v>
      </c>
      <c r="C436" s="56">
        <v>393</v>
      </c>
      <c r="D436" s="57">
        <f t="shared" si="9"/>
        <v>0.82389937106918243</v>
      </c>
      <c r="E436" s="59" t="s">
        <v>90</v>
      </c>
      <c r="F436"/>
      <c r="G436"/>
    </row>
    <row r="437" spans="1:7" x14ac:dyDescent="0.3">
      <c r="A437" s="55" t="s">
        <v>60</v>
      </c>
      <c r="B437" s="56">
        <v>654</v>
      </c>
      <c r="C437" s="56">
        <v>419</v>
      </c>
      <c r="D437" s="57">
        <f t="shared" si="9"/>
        <v>0.64067278287461771</v>
      </c>
      <c r="E437" s="59" t="s">
        <v>90</v>
      </c>
      <c r="F437"/>
      <c r="G437"/>
    </row>
    <row r="438" spans="1:7" x14ac:dyDescent="0.3">
      <c r="A438" s="55" t="s">
        <v>37</v>
      </c>
      <c r="B438" s="56">
        <v>419</v>
      </c>
      <c r="C438" s="56">
        <v>374</v>
      </c>
      <c r="D438" s="57">
        <f t="shared" si="9"/>
        <v>0.89260143198090691</v>
      </c>
      <c r="E438" s="59" t="s">
        <v>90</v>
      </c>
      <c r="F438"/>
      <c r="G438"/>
    </row>
    <row r="439" spans="1:7" x14ac:dyDescent="0.3">
      <c r="A439" s="55" t="s">
        <v>61</v>
      </c>
      <c r="B439" s="56">
        <v>19</v>
      </c>
      <c r="C439" s="56">
        <v>17</v>
      </c>
      <c r="D439" s="57">
        <f t="shared" si="9"/>
        <v>0.89473684210526316</v>
      </c>
      <c r="E439" s="59" t="s">
        <v>90</v>
      </c>
      <c r="F439"/>
      <c r="G439"/>
    </row>
    <row r="440" spans="1:7" x14ac:dyDescent="0.3">
      <c r="A440" s="55" t="s">
        <v>62</v>
      </c>
      <c r="B440" s="56">
        <v>9</v>
      </c>
      <c r="C440" s="56">
        <v>9</v>
      </c>
      <c r="D440" s="57">
        <f t="shared" si="9"/>
        <v>1</v>
      </c>
      <c r="E440" s="59" t="s">
        <v>90</v>
      </c>
      <c r="F440"/>
      <c r="G440"/>
    </row>
    <row r="441" spans="1:7" x14ac:dyDescent="0.3">
      <c r="A441" s="55" t="s">
        <v>30</v>
      </c>
      <c r="B441" s="56">
        <v>5837</v>
      </c>
      <c r="C441" s="56">
        <v>5014</v>
      </c>
      <c r="D441" s="57">
        <f t="shared" si="9"/>
        <v>0.85900291245502824</v>
      </c>
      <c r="E441" s="59" t="s">
        <v>91</v>
      </c>
    </row>
    <row r="442" spans="1:7" x14ac:dyDescent="0.3">
      <c r="A442" s="55" t="s">
        <v>31</v>
      </c>
      <c r="B442" s="56">
        <v>372</v>
      </c>
      <c r="C442" s="56">
        <v>328</v>
      </c>
      <c r="D442" s="57">
        <f t="shared" si="9"/>
        <v>0.88172043010752688</v>
      </c>
      <c r="E442" s="59" t="s">
        <v>91</v>
      </c>
      <c r="F442"/>
      <c r="G442"/>
    </row>
    <row r="443" spans="1:7" x14ac:dyDescent="0.3">
      <c r="A443" s="55" t="s">
        <v>32</v>
      </c>
      <c r="B443" s="56">
        <v>40</v>
      </c>
      <c r="C443" s="56">
        <v>36</v>
      </c>
      <c r="D443" s="57">
        <f t="shared" si="9"/>
        <v>0.9</v>
      </c>
      <c r="E443" s="59" t="s">
        <v>91</v>
      </c>
      <c r="F443"/>
      <c r="G443"/>
    </row>
    <row r="444" spans="1:7" x14ac:dyDescent="0.3">
      <c r="A444" s="55" t="s">
        <v>33</v>
      </c>
      <c r="B444" s="56">
        <v>658</v>
      </c>
      <c r="C444" s="56">
        <v>615</v>
      </c>
      <c r="D444" s="57">
        <f t="shared" si="9"/>
        <v>0.93465045592705165</v>
      </c>
      <c r="E444" s="59" t="s">
        <v>91</v>
      </c>
      <c r="F444"/>
      <c r="G444"/>
    </row>
    <row r="445" spans="1:7" x14ac:dyDescent="0.3">
      <c r="A445" s="55" t="s">
        <v>57</v>
      </c>
      <c r="B445" s="56">
        <v>122</v>
      </c>
      <c r="C445" s="56">
        <v>109</v>
      </c>
      <c r="D445" s="57">
        <f t="shared" si="9"/>
        <v>0.89344262295081966</v>
      </c>
      <c r="E445" s="59" t="s">
        <v>91</v>
      </c>
      <c r="F445"/>
      <c r="G445"/>
    </row>
    <row r="446" spans="1:7" x14ac:dyDescent="0.3">
      <c r="A446" s="55" t="s">
        <v>63</v>
      </c>
      <c r="B446" s="56">
        <v>35</v>
      </c>
      <c r="C446" s="56">
        <v>31</v>
      </c>
      <c r="D446" s="57">
        <f t="shared" si="9"/>
        <v>0.88571428571428568</v>
      </c>
      <c r="E446" s="59" t="s">
        <v>91</v>
      </c>
      <c r="F446"/>
      <c r="G446"/>
    </row>
    <row r="447" spans="1:7" x14ac:dyDescent="0.3">
      <c r="A447" s="55" t="s">
        <v>58</v>
      </c>
      <c r="B447" s="56">
        <v>166</v>
      </c>
      <c r="C447" s="56">
        <v>105</v>
      </c>
      <c r="D447" s="57">
        <f t="shared" si="9"/>
        <v>0.63253012048192769</v>
      </c>
      <c r="E447" s="59" t="s">
        <v>91</v>
      </c>
      <c r="F447"/>
      <c r="G447"/>
    </row>
    <row r="448" spans="1:7" x14ac:dyDescent="0.3">
      <c r="A448" s="55" t="s">
        <v>35</v>
      </c>
      <c r="B448" s="56">
        <v>1259</v>
      </c>
      <c r="C448" s="56">
        <v>1116</v>
      </c>
      <c r="D448" s="57">
        <f t="shared" si="9"/>
        <v>0.88641779189833203</v>
      </c>
      <c r="E448" s="59" t="s">
        <v>91</v>
      </c>
      <c r="F448"/>
      <c r="G448"/>
    </row>
    <row r="449" spans="1:7" x14ac:dyDescent="0.3">
      <c r="A449" s="55" t="s">
        <v>36</v>
      </c>
      <c r="B449" s="56">
        <v>992</v>
      </c>
      <c r="C449" s="56">
        <v>854</v>
      </c>
      <c r="D449" s="57">
        <f t="shared" si="9"/>
        <v>0.86088709677419351</v>
      </c>
      <c r="E449" s="59" t="s">
        <v>91</v>
      </c>
      <c r="F449"/>
      <c r="G449"/>
    </row>
    <row r="450" spans="1:7" x14ac:dyDescent="0.3">
      <c r="A450" s="55" t="s">
        <v>64</v>
      </c>
      <c r="B450" s="56">
        <v>1004</v>
      </c>
      <c r="C450" s="56">
        <v>917</v>
      </c>
      <c r="D450" s="57">
        <f t="shared" si="9"/>
        <v>0.9133466135458167</v>
      </c>
      <c r="E450" s="59" t="s">
        <v>91</v>
      </c>
      <c r="F450"/>
      <c r="G450"/>
    </row>
    <row r="451" spans="1:7" x14ac:dyDescent="0.3">
      <c r="A451" s="55" t="s">
        <v>59</v>
      </c>
      <c r="B451" s="56">
        <v>283</v>
      </c>
      <c r="C451" s="56">
        <v>234</v>
      </c>
      <c r="D451" s="57">
        <f t="shared" si="9"/>
        <v>0.82685512367491165</v>
      </c>
      <c r="E451" s="59" t="s">
        <v>91</v>
      </c>
      <c r="F451"/>
      <c r="G451"/>
    </row>
    <row r="452" spans="1:7" x14ac:dyDescent="0.3">
      <c r="A452" s="55" t="s">
        <v>60</v>
      </c>
      <c r="B452" s="56">
        <v>548</v>
      </c>
      <c r="C452" s="56">
        <v>352</v>
      </c>
      <c r="D452" s="57">
        <f t="shared" si="9"/>
        <v>0.64233576642335766</v>
      </c>
      <c r="E452" s="59" t="s">
        <v>91</v>
      </c>
      <c r="F452"/>
      <c r="G452"/>
    </row>
    <row r="453" spans="1:7" x14ac:dyDescent="0.3">
      <c r="A453" s="55" t="s">
        <v>37</v>
      </c>
      <c r="B453" s="56">
        <v>318</v>
      </c>
      <c r="C453" s="56">
        <v>283</v>
      </c>
      <c r="D453" s="57">
        <f t="shared" si="9"/>
        <v>0.88993710691823902</v>
      </c>
      <c r="E453" s="59" t="s">
        <v>91</v>
      </c>
      <c r="F453"/>
      <c r="G453"/>
    </row>
    <row r="454" spans="1:7" x14ac:dyDescent="0.3">
      <c r="A454" s="55" t="s">
        <v>61</v>
      </c>
      <c r="B454" s="56">
        <v>40</v>
      </c>
      <c r="C454" s="56">
        <v>34</v>
      </c>
      <c r="D454" s="57">
        <f t="shared" si="9"/>
        <v>0.85</v>
      </c>
      <c r="E454" s="59" t="s">
        <v>91</v>
      </c>
      <c r="F454"/>
      <c r="G454"/>
    </row>
    <row r="455" spans="1:7" x14ac:dyDescent="0.3">
      <c r="A455" s="55" t="s">
        <v>30</v>
      </c>
      <c r="B455" s="56">
        <v>6914</v>
      </c>
      <c r="C455" s="56">
        <v>5902</v>
      </c>
      <c r="D455" s="57">
        <f t="shared" si="9"/>
        <v>0.85363031530228517</v>
      </c>
      <c r="E455" s="59" t="s">
        <v>92</v>
      </c>
    </row>
    <row r="456" spans="1:7" x14ac:dyDescent="0.3">
      <c r="A456" s="55" t="s">
        <v>31</v>
      </c>
      <c r="B456" s="56">
        <v>376</v>
      </c>
      <c r="C456" s="56">
        <v>344</v>
      </c>
      <c r="D456" s="57">
        <f t="shared" si="9"/>
        <v>0.91489361702127658</v>
      </c>
      <c r="E456" s="59" t="s">
        <v>92</v>
      </c>
      <c r="F456"/>
      <c r="G456"/>
    </row>
    <row r="457" spans="1:7" x14ac:dyDescent="0.3">
      <c r="A457" s="55" t="s">
        <v>32</v>
      </c>
      <c r="B457" s="56">
        <v>47</v>
      </c>
      <c r="C457" s="56">
        <v>32</v>
      </c>
      <c r="D457" s="57">
        <f t="shared" si="9"/>
        <v>0.68085106382978722</v>
      </c>
      <c r="E457" s="59" t="s">
        <v>92</v>
      </c>
      <c r="F457"/>
      <c r="G457"/>
    </row>
    <row r="458" spans="1:7" x14ac:dyDescent="0.3">
      <c r="A458" s="55" t="s">
        <v>33</v>
      </c>
      <c r="B458" s="56">
        <v>733</v>
      </c>
      <c r="C458" s="56">
        <v>693</v>
      </c>
      <c r="D458" s="57">
        <f t="shared" si="9"/>
        <v>0.94542974079126874</v>
      </c>
      <c r="E458" s="59" t="s">
        <v>92</v>
      </c>
      <c r="F458"/>
      <c r="G458"/>
    </row>
    <row r="459" spans="1:7" x14ac:dyDescent="0.3">
      <c r="A459" s="55" t="s">
        <v>57</v>
      </c>
      <c r="B459" s="56">
        <v>184</v>
      </c>
      <c r="C459" s="56">
        <v>155</v>
      </c>
      <c r="D459" s="57">
        <f t="shared" si="9"/>
        <v>0.84239130434782605</v>
      </c>
      <c r="E459" s="59" t="s">
        <v>92</v>
      </c>
      <c r="F459"/>
      <c r="G459"/>
    </row>
    <row r="460" spans="1:7" x14ac:dyDescent="0.3">
      <c r="A460" s="55" t="s">
        <v>63</v>
      </c>
      <c r="B460" s="56">
        <v>15</v>
      </c>
      <c r="C460" s="56">
        <v>13</v>
      </c>
      <c r="D460" s="57">
        <f t="shared" si="9"/>
        <v>0.8666666666666667</v>
      </c>
      <c r="E460" s="59" t="s">
        <v>92</v>
      </c>
      <c r="F460"/>
      <c r="G460"/>
    </row>
    <row r="461" spans="1:7" x14ac:dyDescent="0.3">
      <c r="A461" s="55" t="s">
        <v>58</v>
      </c>
      <c r="B461" s="56">
        <v>143</v>
      </c>
      <c r="C461" s="56">
        <v>89</v>
      </c>
      <c r="D461" s="57">
        <f t="shared" si="9"/>
        <v>0.6223776223776224</v>
      </c>
      <c r="E461" s="59" t="s">
        <v>92</v>
      </c>
      <c r="F461"/>
      <c r="G461"/>
    </row>
    <row r="462" spans="1:7" x14ac:dyDescent="0.3">
      <c r="A462" s="55" t="s">
        <v>35</v>
      </c>
      <c r="B462" s="56">
        <v>1356</v>
      </c>
      <c r="C462" s="56">
        <v>1173</v>
      </c>
      <c r="D462" s="57">
        <f t="shared" si="9"/>
        <v>0.86504424778761058</v>
      </c>
      <c r="E462" s="59" t="s">
        <v>92</v>
      </c>
      <c r="F462"/>
      <c r="G462"/>
    </row>
    <row r="463" spans="1:7" x14ac:dyDescent="0.3">
      <c r="A463" s="55" t="s">
        <v>36</v>
      </c>
      <c r="B463" s="56">
        <v>1286</v>
      </c>
      <c r="C463" s="56">
        <v>1082</v>
      </c>
      <c r="D463" s="57">
        <f t="shared" si="9"/>
        <v>0.84136858475894249</v>
      </c>
      <c r="E463" s="59" t="s">
        <v>92</v>
      </c>
      <c r="F463"/>
      <c r="G463"/>
    </row>
    <row r="464" spans="1:7" x14ac:dyDescent="0.3">
      <c r="A464" s="55" t="s">
        <v>64</v>
      </c>
      <c r="B464" s="56">
        <v>1268</v>
      </c>
      <c r="C464" s="56">
        <v>1158</v>
      </c>
      <c r="D464" s="57">
        <f t="shared" ref="D464:D527" si="10">SUM(C464/B464)</f>
        <v>0.91324921135646686</v>
      </c>
      <c r="E464" s="59" t="s">
        <v>92</v>
      </c>
      <c r="F464"/>
      <c r="G464"/>
    </row>
    <row r="465" spans="1:7" x14ac:dyDescent="0.3">
      <c r="A465" s="55" t="s">
        <v>59</v>
      </c>
      <c r="B465" s="56">
        <v>399</v>
      </c>
      <c r="C465" s="56">
        <v>328</v>
      </c>
      <c r="D465" s="57">
        <f t="shared" si="10"/>
        <v>0.82205513784461148</v>
      </c>
      <c r="E465" s="59" t="s">
        <v>92</v>
      </c>
      <c r="F465"/>
      <c r="G465"/>
    </row>
    <row r="466" spans="1:7" x14ac:dyDescent="0.3">
      <c r="A466" s="55" t="s">
        <v>60</v>
      </c>
      <c r="B466" s="56">
        <v>576</v>
      </c>
      <c r="C466" s="56">
        <v>368</v>
      </c>
      <c r="D466" s="57">
        <f t="shared" si="10"/>
        <v>0.63888888888888884</v>
      </c>
      <c r="E466" s="59" t="s">
        <v>92</v>
      </c>
      <c r="F466"/>
      <c r="G466"/>
    </row>
    <row r="467" spans="1:7" x14ac:dyDescent="0.3">
      <c r="A467" s="55" t="s">
        <v>37</v>
      </c>
      <c r="B467" s="56">
        <v>437</v>
      </c>
      <c r="C467" s="56">
        <v>396</v>
      </c>
      <c r="D467" s="57">
        <f t="shared" si="10"/>
        <v>0.90617848970251713</v>
      </c>
      <c r="E467" s="59" t="s">
        <v>92</v>
      </c>
      <c r="F467"/>
      <c r="G467"/>
    </row>
    <row r="468" spans="1:7" x14ac:dyDescent="0.3">
      <c r="A468" s="55" t="s">
        <v>61</v>
      </c>
      <c r="B468" s="56">
        <v>19</v>
      </c>
      <c r="C468" s="56">
        <v>11</v>
      </c>
      <c r="D468" s="57">
        <f t="shared" si="10"/>
        <v>0.57894736842105265</v>
      </c>
      <c r="E468" s="59" t="s">
        <v>92</v>
      </c>
      <c r="F468"/>
      <c r="G468"/>
    </row>
    <row r="469" spans="1:7" x14ac:dyDescent="0.3">
      <c r="A469" s="55" t="s">
        <v>62</v>
      </c>
      <c r="B469" s="56">
        <v>75</v>
      </c>
      <c r="C469" s="56">
        <v>60</v>
      </c>
      <c r="D469" s="57">
        <f t="shared" si="10"/>
        <v>0.8</v>
      </c>
      <c r="E469" s="59" t="s">
        <v>92</v>
      </c>
      <c r="F469"/>
      <c r="G469"/>
    </row>
    <row r="470" spans="1:7" x14ac:dyDescent="0.3">
      <c r="A470" s="55" t="s">
        <v>31</v>
      </c>
      <c r="B470" s="56">
        <v>448</v>
      </c>
      <c r="C470" s="56">
        <v>395</v>
      </c>
      <c r="D470" s="57">
        <f t="shared" si="10"/>
        <v>0.8816964285714286</v>
      </c>
      <c r="E470" s="59" t="s">
        <v>93</v>
      </c>
    </row>
    <row r="471" spans="1:7" x14ac:dyDescent="0.3">
      <c r="A471" s="55" t="s">
        <v>32</v>
      </c>
      <c r="B471" s="56">
        <v>32</v>
      </c>
      <c r="C471" s="56">
        <v>17</v>
      </c>
      <c r="D471" s="57">
        <f t="shared" si="10"/>
        <v>0.53125</v>
      </c>
      <c r="E471" s="59" t="s">
        <v>93</v>
      </c>
    </row>
    <row r="472" spans="1:7" x14ac:dyDescent="0.3">
      <c r="A472" s="55" t="s">
        <v>33</v>
      </c>
      <c r="B472" s="56">
        <v>788</v>
      </c>
      <c r="C472" s="56">
        <v>737</v>
      </c>
      <c r="D472" s="57">
        <f t="shared" si="10"/>
        <v>0.93527918781725883</v>
      </c>
      <c r="E472" s="59" t="s">
        <v>93</v>
      </c>
    </row>
    <row r="473" spans="1:7" x14ac:dyDescent="0.3">
      <c r="A473" s="55" t="s">
        <v>57</v>
      </c>
      <c r="B473" s="56">
        <v>59</v>
      </c>
      <c r="C473" s="56">
        <v>54</v>
      </c>
      <c r="D473" s="57">
        <f t="shared" si="10"/>
        <v>0.9152542372881356</v>
      </c>
      <c r="E473" s="59" t="s">
        <v>93</v>
      </c>
    </row>
    <row r="474" spans="1:7" x14ac:dyDescent="0.3">
      <c r="A474" s="55" t="s">
        <v>63</v>
      </c>
      <c r="B474" s="56">
        <v>58</v>
      </c>
      <c r="C474" s="56">
        <v>44</v>
      </c>
      <c r="D474" s="57">
        <f t="shared" si="10"/>
        <v>0.75862068965517238</v>
      </c>
      <c r="E474" s="59" t="s">
        <v>93</v>
      </c>
    </row>
    <row r="475" spans="1:7" x14ac:dyDescent="0.3">
      <c r="A475" s="55" t="s">
        <v>58</v>
      </c>
      <c r="B475" s="56">
        <v>149</v>
      </c>
      <c r="C475" s="56">
        <v>94</v>
      </c>
      <c r="D475" s="57">
        <f t="shared" si="10"/>
        <v>0.63087248322147649</v>
      </c>
      <c r="E475" s="59" t="s">
        <v>93</v>
      </c>
    </row>
    <row r="476" spans="1:7" x14ac:dyDescent="0.3">
      <c r="A476" s="55" t="s">
        <v>35</v>
      </c>
      <c r="B476" s="56">
        <v>1691</v>
      </c>
      <c r="C476" s="56">
        <v>1490</v>
      </c>
      <c r="D476" s="57">
        <f t="shared" si="10"/>
        <v>0.88113542282672974</v>
      </c>
      <c r="E476" s="59" t="s">
        <v>93</v>
      </c>
    </row>
    <row r="477" spans="1:7" x14ac:dyDescent="0.3">
      <c r="A477" s="55" t="s">
        <v>36</v>
      </c>
      <c r="B477" s="56">
        <v>1324</v>
      </c>
      <c r="C477" s="56">
        <v>1147</v>
      </c>
      <c r="D477" s="57">
        <f t="shared" si="10"/>
        <v>0.86631419939577037</v>
      </c>
      <c r="E477" s="59" t="s">
        <v>93</v>
      </c>
    </row>
    <row r="478" spans="1:7" x14ac:dyDescent="0.3">
      <c r="A478" s="55" t="s">
        <v>64</v>
      </c>
      <c r="B478" s="56">
        <v>1224</v>
      </c>
      <c r="C478" s="56">
        <v>1117</v>
      </c>
      <c r="D478" s="57">
        <f t="shared" si="10"/>
        <v>0.91258169934640521</v>
      </c>
      <c r="E478" s="59" t="s">
        <v>93</v>
      </c>
    </row>
    <row r="479" spans="1:7" x14ac:dyDescent="0.3">
      <c r="A479" s="55" t="s">
        <v>59</v>
      </c>
      <c r="B479" s="56">
        <v>253</v>
      </c>
      <c r="C479" s="56">
        <v>198</v>
      </c>
      <c r="D479" s="57">
        <f t="shared" si="10"/>
        <v>0.78260869565217395</v>
      </c>
      <c r="E479" s="59" t="s">
        <v>93</v>
      </c>
    </row>
    <row r="480" spans="1:7" x14ac:dyDescent="0.3">
      <c r="A480" s="55" t="s">
        <v>60</v>
      </c>
      <c r="B480" s="56">
        <v>664</v>
      </c>
      <c r="C480" s="56">
        <v>429</v>
      </c>
      <c r="D480" s="57">
        <f t="shared" si="10"/>
        <v>0.64608433734939763</v>
      </c>
      <c r="E480" s="59" t="s">
        <v>93</v>
      </c>
    </row>
    <row r="481" spans="1:5" x14ac:dyDescent="0.3">
      <c r="A481" s="55" t="s">
        <v>37</v>
      </c>
      <c r="B481" s="56">
        <v>463</v>
      </c>
      <c r="C481" s="56">
        <v>414</v>
      </c>
      <c r="D481" s="57">
        <f t="shared" si="10"/>
        <v>0.89416846652267823</v>
      </c>
      <c r="E481" s="59" t="s">
        <v>93</v>
      </c>
    </row>
    <row r="482" spans="1:5" x14ac:dyDescent="0.3">
      <c r="A482" s="55" t="s">
        <v>61</v>
      </c>
      <c r="B482" s="56">
        <v>35</v>
      </c>
      <c r="C482" s="56">
        <v>33</v>
      </c>
      <c r="D482" s="57">
        <f t="shared" si="10"/>
        <v>0.94285714285714284</v>
      </c>
      <c r="E482" s="59" t="s">
        <v>93</v>
      </c>
    </row>
    <row r="483" spans="1:5" x14ac:dyDescent="0.3">
      <c r="A483" s="55" t="s">
        <v>62</v>
      </c>
      <c r="B483" s="56">
        <v>58</v>
      </c>
      <c r="C483" s="56">
        <v>46</v>
      </c>
      <c r="D483" s="57">
        <f t="shared" si="10"/>
        <v>0.7931034482758621</v>
      </c>
      <c r="E483" s="59" t="s">
        <v>93</v>
      </c>
    </row>
    <row r="484" spans="1:5" x14ac:dyDescent="0.3">
      <c r="A484" s="55" t="s">
        <v>31</v>
      </c>
      <c r="B484" s="56">
        <v>453</v>
      </c>
      <c r="C484" s="56">
        <v>403</v>
      </c>
      <c r="D484" s="57">
        <f t="shared" si="10"/>
        <v>0.88962472406181015</v>
      </c>
      <c r="E484" s="59" t="s">
        <v>94</v>
      </c>
    </row>
    <row r="485" spans="1:5" x14ac:dyDescent="0.3">
      <c r="A485" s="55" t="s">
        <v>32</v>
      </c>
      <c r="B485" s="56">
        <v>30</v>
      </c>
      <c r="C485" s="56">
        <v>21</v>
      </c>
      <c r="D485" s="57">
        <f t="shared" si="10"/>
        <v>0.7</v>
      </c>
      <c r="E485" s="59" t="s">
        <v>94</v>
      </c>
    </row>
    <row r="486" spans="1:5" x14ac:dyDescent="0.3">
      <c r="A486" s="55" t="s">
        <v>33</v>
      </c>
      <c r="B486" s="56">
        <v>730</v>
      </c>
      <c r="C486" s="56">
        <v>691</v>
      </c>
      <c r="D486" s="57">
        <f t="shared" si="10"/>
        <v>0.94657534246575348</v>
      </c>
      <c r="E486" s="59" t="s">
        <v>94</v>
      </c>
    </row>
    <row r="487" spans="1:5" x14ac:dyDescent="0.3">
      <c r="A487" s="55" t="s">
        <v>57</v>
      </c>
      <c r="B487" s="56">
        <v>64</v>
      </c>
      <c r="C487" s="56">
        <v>54</v>
      </c>
      <c r="D487" s="57">
        <f t="shared" si="10"/>
        <v>0.84375</v>
      </c>
      <c r="E487" s="59" t="s">
        <v>94</v>
      </c>
    </row>
    <row r="488" spans="1:5" x14ac:dyDescent="0.3">
      <c r="A488" s="55" t="s">
        <v>63</v>
      </c>
      <c r="B488" s="56">
        <v>46</v>
      </c>
      <c r="C488" s="56">
        <v>45</v>
      </c>
      <c r="D488" s="57">
        <f t="shared" si="10"/>
        <v>0.97826086956521741</v>
      </c>
      <c r="E488" s="59" t="s">
        <v>94</v>
      </c>
    </row>
    <row r="489" spans="1:5" x14ac:dyDescent="0.3">
      <c r="A489" s="55" t="s">
        <v>58</v>
      </c>
      <c r="B489" s="56">
        <v>86</v>
      </c>
      <c r="C489" s="56">
        <v>52</v>
      </c>
      <c r="D489" s="57">
        <f t="shared" si="10"/>
        <v>0.60465116279069764</v>
      </c>
      <c r="E489" s="59" t="s">
        <v>94</v>
      </c>
    </row>
    <row r="490" spans="1:5" x14ac:dyDescent="0.3">
      <c r="A490" s="55" t="s">
        <v>35</v>
      </c>
      <c r="B490" s="56">
        <v>1303</v>
      </c>
      <c r="C490" s="56">
        <v>1130</v>
      </c>
      <c r="D490" s="57">
        <f t="shared" si="10"/>
        <v>0.86722947045280119</v>
      </c>
      <c r="E490" s="59" t="s">
        <v>94</v>
      </c>
    </row>
    <row r="491" spans="1:5" x14ac:dyDescent="0.3">
      <c r="A491" s="55" t="s">
        <v>36</v>
      </c>
      <c r="B491" s="56">
        <v>1208</v>
      </c>
      <c r="C491" s="56">
        <v>1019</v>
      </c>
      <c r="D491" s="57">
        <f t="shared" si="10"/>
        <v>0.8435430463576159</v>
      </c>
      <c r="E491" s="59" t="s">
        <v>94</v>
      </c>
    </row>
    <row r="492" spans="1:5" x14ac:dyDescent="0.3">
      <c r="A492" s="55" t="s">
        <v>64</v>
      </c>
      <c r="B492" s="56">
        <v>1004</v>
      </c>
      <c r="C492" s="56">
        <v>905</v>
      </c>
      <c r="D492" s="57">
        <f t="shared" si="10"/>
        <v>0.90139442231075695</v>
      </c>
      <c r="E492" s="59" t="s">
        <v>94</v>
      </c>
    </row>
    <row r="493" spans="1:5" x14ac:dyDescent="0.3">
      <c r="A493" s="55" t="s">
        <v>59</v>
      </c>
      <c r="B493" s="56">
        <v>249</v>
      </c>
      <c r="C493" s="56">
        <v>206</v>
      </c>
      <c r="D493" s="57">
        <f t="shared" si="10"/>
        <v>0.82730923694779113</v>
      </c>
      <c r="E493" s="59" t="s">
        <v>94</v>
      </c>
    </row>
    <row r="494" spans="1:5" x14ac:dyDescent="0.3">
      <c r="A494" s="55" t="s">
        <v>60</v>
      </c>
      <c r="B494" s="56">
        <v>642</v>
      </c>
      <c r="C494" s="56">
        <v>429</v>
      </c>
      <c r="D494" s="57">
        <f t="shared" si="10"/>
        <v>0.66822429906542058</v>
      </c>
      <c r="E494" s="59" t="s">
        <v>94</v>
      </c>
    </row>
    <row r="495" spans="1:5" x14ac:dyDescent="0.3">
      <c r="A495" s="55" t="s">
        <v>37</v>
      </c>
      <c r="B495" s="56">
        <v>314</v>
      </c>
      <c r="C495" s="56">
        <v>275</v>
      </c>
      <c r="D495" s="57">
        <f t="shared" si="10"/>
        <v>0.87579617834394907</v>
      </c>
      <c r="E495" s="59" t="s">
        <v>94</v>
      </c>
    </row>
    <row r="496" spans="1:5" x14ac:dyDescent="0.3">
      <c r="A496" s="55" t="s">
        <v>61</v>
      </c>
      <c r="B496" s="56">
        <v>41</v>
      </c>
      <c r="C496" s="56">
        <v>33</v>
      </c>
      <c r="D496" s="57">
        <f t="shared" si="10"/>
        <v>0.80487804878048785</v>
      </c>
      <c r="E496" s="59" t="s">
        <v>94</v>
      </c>
    </row>
    <row r="497" spans="1:7" x14ac:dyDescent="0.3">
      <c r="A497" s="55" t="s">
        <v>62</v>
      </c>
      <c r="B497" s="56">
        <v>116</v>
      </c>
      <c r="C497" s="56">
        <v>102</v>
      </c>
      <c r="D497" s="57">
        <f t="shared" si="10"/>
        <v>0.87931034482758619</v>
      </c>
      <c r="E497" s="59" t="s">
        <v>94</v>
      </c>
    </row>
    <row r="498" spans="1:7" x14ac:dyDescent="0.3">
      <c r="A498" s="55" t="s">
        <v>31</v>
      </c>
      <c r="B498" s="56">
        <v>631</v>
      </c>
      <c r="C498" s="56">
        <v>551</v>
      </c>
      <c r="D498" s="57">
        <f t="shared" si="10"/>
        <v>0.87321711568938198</v>
      </c>
      <c r="E498" s="59" t="s">
        <v>95</v>
      </c>
    </row>
    <row r="499" spans="1:7" x14ac:dyDescent="0.3">
      <c r="A499" s="55" t="s">
        <v>32</v>
      </c>
      <c r="B499" s="56">
        <v>23</v>
      </c>
      <c r="C499" s="56">
        <v>16</v>
      </c>
      <c r="D499" s="57">
        <f t="shared" si="10"/>
        <v>0.69565217391304346</v>
      </c>
      <c r="E499" s="59" t="s">
        <v>95</v>
      </c>
    </row>
    <row r="500" spans="1:7" x14ac:dyDescent="0.3">
      <c r="A500" s="55" t="s">
        <v>33</v>
      </c>
      <c r="B500" s="56">
        <v>997</v>
      </c>
      <c r="C500" s="56">
        <v>942</v>
      </c>
      <c r="D500" s="57">
        <f t="shared" si="10"/>
        <v>0.94483450351053155</v>
      </c>
      <c r="E500" s="59" t="s">
        <v>95</v>
      </c>
    </row>
    <row r="501" spans="1:7" x14ac:dyDescent="0.3">
      <c r="A501" s="55" t="s">
        <v>57</v>
      </c>
      <c r="B501" s="56">
        <v>36</v>
      </c>
      <c r="C501" s="56">
        <v>30</v>
      </c>
      <c r="D501" s="57">
        <f t="shared" si="10"/>
        <v>0.83333333333333337</v>
      </c>
      <c r="E501" s="59" t="s">
        <v>95</v>
      </c>
    </row>
    <row r="502" spans="1:7" x14ac:dyDescent="0.3">
      <c r="A502" s="55" t="s">
        <v>58</v>
      </c>
      <c r="B502" s="56">
        <v>90</v>
      </c>
      <c r="C502" s="56">
        <v>56</v>
      </c>
      <c r="D502" s="57">
        <f t="shared" si="10"/>
        <v>0.62222222222222223</v>
      </c>
      <c r="E502" s="59" t="s">
        <v>95</v>
      </c>
    </row>
    <row r="503" spans="1:7" x14ac:dyDescent="0.3">
      <c r="A503" s="55" t="s">
        <v>35</v>
      </c>
      <c r="B503" s="56">
        <v>1537</v>
      </c>
      <c r="C503" s="56">
        <v>1327</v>
      </c>
      <c r="D503" s="57">
        <f t="shared" si="10"/>
        <v>0.86337020169160705</v>
      </c>
      <c r="E503" s="59" t="s">
        <v>95</v>
      </c>
    </row>
    <row r="504" spans="1:7" x14ac:dyDescent="0.3">
      <c r="A504" s="55" t="s">
        <v>36</v>
      </c>
      <c r="B504" s="56">
        <v>1309</v>
      </c>
      <c r="C504" s="56">
        <v>1127</v>
      </c>
      <c r="D504" s="57">
        <f t="shared" si="10"/>
        <v>0.86096256684491979</v>
      </c>
      <c r="E504" s="59" t="s">
        <v>95</v>
      </c>
    </row>
    <row r="505" spans="1:7" x14ac:dyDescent="0.3">
      <c r="A505" s="55" t="s">
        <v>64</v>
      </c>
      <c r="B505" s="56">
        <v>1505</v>
      </c>
      <c r="C505" s="56">
        <v>1394</v>
      </c>
      <c r="D505" s="57">
        <f t="shared" si="10"/>
        <v>0.92624584717607972</v>
      </c>
      <c r="E505" s="59" t="s">
        <v>95</v>
      </c>
    </row>
    <row r="506" spans="1:7" x14ac:dyDescent="0.3">
      <c r="A506" s="55" t="s">
        <v>59</v>
      </c>
      <c r="B506" s="56">
        <v>500</v>
      </c>
      <c r="C506" s="56">
        <v>401</v>
      </c>
      <c r="D506" s="57">
        <f t="shared" si="10"/>
        <v>0.80200000000000005</v>
      </c>
      <c r="E506" s="59" t="s">
        <v>95</v>
      </c>
    </row>
    <row r="507" spans="1:7" x14ac:dyDescent="0.3">
      <c r="A507" s="55" t="s">
        <v>60</v>
      </c>
      <c r="B507" s="56">
        <v>581</v>
      </c>
      <c r="C507" s="56">
        <v>385</v>
      </c>
      <c r="D507" s="57">
        <f t="shared" si="10"/>
        <v>0.66265060240963858</v>
      </c>
      <c r="E507" s="59" t="s">
        <v>95</v>
      </c>
    </row>
    <row r="508" spans="1:7" x14ac:dyDescent="0.3">
      <c r="A508" s="55" t="s">
        <v>37</v>
      </c>
      <c r="B508" s="56">
        <v>550</v>
      </c>
      <c r="C508" s="56">
        <v>496</v>
      </c>
      <c r="D508" s="57">
        <f t="shared" si="10"/>
        <v>0.90181818181818185</v>
      </c>
      <c r="E508" s="59" t="s">
        <v>95</v>
      </c>
    </row>
    <row r="509" spans="1:7" x14ac:dyDescent="0.3">
      <c r="A509" s="55" t="s">
        <v>61</v>
      </c>
      <c r="B509" s="56">
        <v>76</v>
      </c>
      <c r="C509" s="56">
        <v>69</v>
      </c>
      <c r="D509" s="57">
        <f t="shared" si="10"/>
        <v>0.90789473684210531</v>
      </c>
      <c r="E509" s="59" t="s">
        <v>95</v>
      </c>
    </row>
    <row r="510" spans="1:7" x14ac:dyDescent="0.3">
      <c r="A510" s="55" t="s">
        <v>62</v>
      </c>
      <c r="B510" s="56">
        <v>63</v>
      </c>
      <c r="C510" s="56">
        <v>51</v>
      </c>
      <c r="D510" s="57">
        <f t="shared" si="10"/>
        <v>0.80952380952380953</v>
      </c>
      <c r="E510" s="59" t="s">
        <v>95</v>
      </c>
    </row>
    <row r="511" spans="1:7" x14ac:dyDescent="0.3">
      <c r="A511" s="55" t="s">
        <v>30</v>
      </c>
      <c r="B511" s="56">
        <v>6729</v>
      </c>
      <c r="C511" s="56">
        <v>5734</v>
      </c>
      <c r="D511" s="57">
        <f t="shared" si="10"/>
        <v>0.8521325605587754</v>
      </c>
      <c r="E511" s="59" t="s">
        <v>96</v>
      </c>
    </row>
    <row r="512" spans="1:7" x14ac:dyDescent="0.3">
      <c r="A512" s="55" t="s">
        <v>31</v>
      </c>
      <c r="B512" s="56">
        <v>555</v>
      </c>
      <c r="C512" s="56">
        <v>470</v>
      </c>
      <c r="D512" s="57">
        <f t="shared" si="10"/>
        <v>0.84684684684684686</v>
      </c>
      <c r="E512" s="59" t="s">
        <v>96</v>
      </c>
      <c r="F512"/>
      <c r="G512"/>
    </row>
    <row r="513" spans="1:8" x14ac:dyDescent="0.3">
      <c r="A513" s="55" t="s">
        <v>32</v>
      </c>
      <c r="B513" s="56">
        <v>36</v>
      </c>
      <c r="C513" s="56">
        <v>22</v>
      </c>
      <c r="D513" s="57">
        <f t="shared" si="10"/>
        <v>0.61111111111111116</v>
      </c>
      <c r="E513" s="59" t="s">
        <v>96</v>
      </c>
      <c r="F513"/>
      <c r="G513"/>
    </row>
    <row r="514" spans="1:8" x14ac:dyDescent="0.3">
      <c r="A514" s="55" t="s">
        <v>33</v>
      </c>
      <c r="B514" s="56">
        <v>773</v>
      </c>
      <c r="C514" s="56">
        <v>732</v>
      </c>
      <c r="D514" s="57">
        <f t="shared" si="10"/>
        <v>0.9469598965071151</v>
      </c>
      <c r="E514" s="59" t="s">
        <v>96</v>
      </c>
      <c r="F514"/>
      <c r="G514"/>
    </row>
    <row r="515" spans="1:8" x14ac:dyDescent="0.3">
      <c r="A515" s="55" t="s">
        <v>57</v>
      </c>
      <c r="B515" s="56">
        <v>34</v>
      </c>
      <c r="C515" s="56">
        <v>30</v>
      </c>
      <c r="D515" s="57">
        <f t="shared" si="10"/>
        <v>0.88235294117647056</v>
      </c>
      <c r="E515" s="59" t="s">
        <v>96</v>
      </c>
      <c r="F515"/>
      <c r="G515"/>
    </row>
    <row r="516" spans="1:8" x14ac:dyDescent="0.3">
      <c r="A516" s="55" t="s">
        <v>63</v>
      </c>
      <c r="B516" s="56">
        <v>50</v>
      </c>
      <c r="C516" s="56">
        <v>40</v>
      </c>
      <c r="D516" s="57">
        <f t="shared" si="10"/>
        <v>0.8</v>
      </c>
      <c r="E516" s="59" t="s">
        <v>96</v>
      </c>
      <c r="F516"/>
      <c r="G516"/>
    </row>
    <row r="517" spans="1:8" x14ac:dyDescent="0.3">
      <c r="A517" s="55" t="s">
        <v>58</v>
      </c>
      <c r="B517" s="56">
        <v>115</v>
      </c>
      <c r="C517" s="56">
        <v>73</v>
      </c>
      <c r="D517" s="57">
        <f t="shared" si="10"/>
        <v>0.63478260869565217</v>
      </c>
      <c r="E517" s="59" t="s">
        <v>96</v>
      </c>
      <c r="F517"/>
      <c r="G517"/>
    </row>
    <row r="518" spans="1:8" x14ac:dyDescent="0.3">
      <c r="A518" s="55" t="s">
        <v>35</v>
      </c>
      <c r="B518" s="56">
        <v>1313</v>
      </c>
      <c r="C518" s="56">
        <v>1154</v>
      </c>
      <c r="D518" s="57">
        <f t="shared" si="10"/>
        <v>0.8789032749428789</v>
      </c>
      <c r="E518" s="59" t="s">
        <v>96</v>
      </c>
      <c r="F518"/>
      <c r="G518"/>
    </row>
    <row r="519" spans="1:8" x14ac:dyDescent="0.3">
      <c r="A519" s="55" t="s">
        <v>36</v>
      </c>
      <c r="B519" s="56">
        <v>1242</v>
      </c>
      <c r="C519" s="56">
        <v>1057</v>
      </c>
      <c r="D519" s="57">
        <f t="shared" si="10"/>
        <v>0.85104669887278583</v>
      </c>
      <c r="E519" s="59" t="s">
        <v>96</v>
      </c>
      <c r="F519"/>
      <c r="G519"/>
    </row>
    <row r="520" spans="1:8" x14ac:dyDescent="0.3">
      <c r="A520" s="55" t="s">
        <v>64</v>
      </c>
      <c r="B520" s="56">
        <v>1103</v>
      </c>
      <c r="C520" s="56">
        <v>1011</v>
      </c>
      <c r="D520" s="57">
        <f t="shared" si="10"/>
        <v>0.91659111514052583</v>
      </c>
      <c r="E520" s="59" t="s">
        <v>96</v>
      </c>
      <c r="F520"/>
      <c r="G520"/>
    </row>
    <row r="521" spans="1:8" x14ac:dyDescent="0.3">
      <c r="A521" s="55" t="s">
        <v>59</v>
      </c>
      <c r="B521" s="56">
        <v>383</v>
      </c>
      <c r="C521" s="56">
        <v>312</v>
      </c>
      <c r="D521" s="57">
        <f t="shared" si="10"/>
        <v>0.81462140992167098</v>
      </c>
      <c r="E521" s="59" t="s">
        <v>96</v>
      </c>
      <c r="F521"/>
      <c r="G521"/>
    </row>
    <row r="522" spans="1:8" x14ac:dyDescent="0.3">
      <c r="A522" s="55" t="s">
        <v>60</v>
      </c>
      <c r="B522" s="56">
        <v>654</v>
      </c>
      <c r="C522" s="56">
        <v>416</v>
      </c>
      <c r="D522" s="57">
        <f t="shared" si="10"/>
        <v>0.63608562691131498</v>
      </c>
      <c r="E522" s="59" t="s">
        <v>96</v>
      </c>
      <c r="F522"/>
      <c r="G522"/>
    </row>
    <row r="523" spans="1:8" x14ac:dyDescent="0.3">
      <c r="A523" s="55" t="s">
        <v>37</v>
      </c>
      <c r="B523" s="56">
        <v>360</v>
      </c>
      <c r="C523" s="56">
        <v>323</v>
      </c>
      <c r="D523" s="57">
        <f t="shared" si="10"/>
        <v>0.89722222222222225</v>
      </c>
      <c r="E523" s="59" t="s">
        <v>96</v>
      </c>
      <c r="F523"/>
      <c r="G523"/>
    </row>
    <row r="524" spans="1:8" x14ac:dyDescent="0.3">
      <c r="A524" s="55" t="s">
        <v>61</v>
      </c>
      <c r="B524" s="56">
        <v>4</v>
      </c>
      <c r="C524" s="56">
        <v>0</v>
      </c>
      <c r="D524" s="57">
        <f t="shared" si="10"/>
        <v>0</v>
      </c>
      <c r="E524" s="59" t="s">
        <v>96</v>
      </c>
      <c r="F524"/>
      <c r="G524"/>
    </row>
    <row r="525" spans="1:8" x14ac:dyDescent="0.3">
      <c r="A525" s="55" t="s">
        <v>62</v>
      </c>
      <c r="B525" s="56">
        <v>107</v>
      </c>
      <c r="C525" s="56">
        <v>94</v>
      </c>
      <c r="D525" s="57">
        <f t="shared" si="10"/>
        <v>0.87850467289719625</v>
      </c>
      <c r="E525" s="59" t="s">
        <v>96</v>
      </c>
      <c r="F525"/>
      <c r="G525"/>
    </row>
    <row r="526" spans="1:8" x14ac:dyDescent="0.3">
      <c r="A526" s="55" t="s">
        <v>30</v>
      </c>
      <c r="B526" s="56">
        <v>6525</v>
      </c>
      <c r="C526" s="56">
        <v>5664</v>
      </c>
      <c r="D526" s="57">
        <f t="shared" si="10"/>
        <v>0.86804597701149422</v>
      </c>
      <c r="E526" s="59" t="s">
        <v>97</v>
      </c>
      <c r="H526"/>
    </row>
    <row r="527" spans="1:8" x14ac:dyDescent="0.3">
      <c r="A527" s="55" t="s">
        <v>31</v>
      </c>
      <c r="B527" s="56">
        <v>385</v>
      </c>
      <c r="C527" s="56">
        <v>327</v>
      </c>
      <c r="D527" s="57">
        <f t="shared" si="10"/>
        <v>0.8493506493506493</v>
      </c>
      <c r="E527" s="59" t="s">
        <v>97</v>
      </c>
      <c r="F527"/>
      <c r="G527"/>
      <c r="H527"/>
    </row>
    <row r="528" spans="1:8" x14ac:dyDescent="0.3">
      <c r="A528" s="55" t="s">
        <v>32</v>
      </c>
      <c r="B528" s="56">
        <v>44</v>
      </c>
      <c r="C528" s="56">
        <v>34</v>
      </c>
      <c r="D528" s="57">
        <f t="shared" ref="D528:D539" si="11">SUM(C528/B528)</f>
        <v>0.77272727272727271</v>
      </c>
      <c r="E528" s="59" t="s">
        <v>97</v>
      </c>
      <c r="F528"/>
      <c r="G528"/>
      <c r="H528"/>
    </row>
    <row r="529" spans="1:8" x14ac:dyDescent="0.3">
      <c r="A529" s="55" t="s">
        <v>33</v>
      </c>
      <c r="B529" s="56">
        <v>592</v>
      </c>
      <c r="C529" s="56">
        <v>547</v>
      </c>
      <c r="D529" s="57">
        <f t="shared" si="11"/>
        <v>0.92398648648648651</v>
      </c>
      <c r="E529" s="59" t="s">
        <v>97</v>
      </c>
      <c r="F529"/>
      <c r="G529"/>
      <c r="H529"/>
    </row>
    <row r="530" spans="1:8" x14ac:dyDescent="0.3">
      <c r="A530" s="55" t="s">
        <v>57</v>
      </c>
      <c r="B530" s="56">
        <v>68</v>
      </c>
      <c r="C530" s="56">
        <v>63</v>
      </c>
      <c r="D530" s="57">
        <f t="shared" si="11"/>
        <v>0.92647058823529416</v>
      </c>
      <c r="E530" s="59" t="s">
        <v>97</v>
      </c>
      <c r="F530"/>
      <c r="G530"/>
      <c r="H530"/>
    </row>
    <row r="531" spans="1:8" x14ac:dyDescent="0.3">
      <c r="A531" s="55" t="s">
        <v>58</v>
      </c>
      <c r="B531" s="56">
        <v>91</v>
      </c>
      <c r="C531" s="56">
        <v>67</v>
      </c>
      <c r="D531" s="57">
        <f t="shared" si="11"/>
        <v>0.73626373626373631</v>
      </c>
      <c r="E531" s="59" t="s">
        <v>97</v>
      </c>
      <c r="F531"/>
      <c r="G531"/>
      <c r="H531"/>
    </row>
    <row r="532" spans="1:8" x14ac:dyDescent="0.3">
      <c r="A532" s="55" t="s">
        <v>35</v>
      </c>
      <c r="B532" s="56">
        <v>1597</v>
      </c>
      <c r="C532" s="56">
        <v>1408</v>
      </c>
      <c r="D532" s="57">
        <f t="shared" si="11"/>
        <v>0.88165309956167814</v>
      </c>
      <c r="E532" s="59" t="s">
        <v>97</v>
      </c>
      <c r="F532"/>
      <c r="G532"/>
      <c r="H532"/>
    </row>
    <row r="533" spans="1:8" x14ac:dyDescent="0.3">
      <c r="A533" s="55" t="s">
        <v>36</v>
      </c>
      <c r="B533" s="56">
        <v>1538</v>
      </c>
      <c r="C533" s="56">
        <v>1357</v>
      </c>
      <c r="D533" s="57">
        <f t="shared" si="11"/>
        <v>0.88231469440832244</v>
      </c>
      <c r="E533" s="59" t="s">
        <v>97</v>
      </c>
      <c r="F533"/>
      <c r="G533"/>
      <c r="H533"/>
    </row>
    <row r="534" spans="1:8" x14ac:dyDescent="0.3">
      <c r="A534" s="55" t="s">
        <v>64</v>
      </c>
      <c r="B534" s="56">
        <v>1113</v>
      </c>
      <c r="C534" s="56">
        <v>1033</v>
      </c>
      <c r="D534" s="57">
        <f t="shared" si="11"/>
        <v>0.92812219227313564</v>
      </c>
      <c r="E534" s="59" t="s">
        <v>97</v>
      </c>
      <c r="F534"/>
      <c r="G534"/>
      <c r="H534"/>
    </row>
    <row r="535" spans="1:8" x14ac:dyDescent="0.3">
      <c r="A535" s="55" t="s">
        <v>59</v>
      </c>
      <c r="B535" s="56">
        <v>306</v>
      </c>
      <c r="C535" s="56">
        <v>248</v>
      </c>
      <c r="D535" s="57">
        <f t="shared" si="11"/>
        <v>0.81045751633986929</v>
      </c>
      <c r="E535" s="59" t="s">
        <v>97</v>
      </c>
      <c r="F535"/>
      <c r="G535"/>
      <c r="H535"/>
    </row>
    <row r="536" spans="1:8" x14ac:dyDescent="0.3">
      <c r="A536" s="55" t="s">
        <v>60</v>
      </c>
      <c r="B536" s="56">
        <v>427</v>
      </c>
      <c r="C536" s="56">
        <v>261</v>
      </c>
      <c r="D536" s="57">
        <f t="shared" si="11"/>
        <v>0.61124121779859486</v>
      </c>
      <c r="E536" s="59" t="s">
        <v>97</v>
      </c>
      <c r="F536"/>
      <c r="G536"/>
      <c r="H536"/>
    </row>
    <row r="537" spans="1:8" x14ac:dyDescent="0.3">
      <c r="A537" s="55" t="s">
        <v>37</v>
      </c>
      <c r="B537" s="56">
        <v>333</v>
      </c>
      <c r="C537" s="56">
        <v>291</v>
      </c>
      <c r="D537" s="57">
        <f t="shared" si="11"/>
        <v>0.87387387387387383</v>
      </c>
      <c r="E537" s="59" t="s">
        <v>97</v>
      </c>
      <c r="F537"/>
      <c r="G537"/>
      <c r="H537"/>
    </row>
    <row r="538" spans="1:8" x14ac:dyDescent="0.3">
      <c r="A538" s="55" t="s">
        <v>61</v>
      </c>
      <c r="B538" s="56">
        <v>19</v>
      </c>
      <c r="C538" s="56">
        <v>17</v>
      </c>
      <c r="D538" s="57">
        <f t="shared" si="11"/>
        <v>0.89473684210526316</v>
      </c>
      <c r="E538" s="59" t="s">
        <v>97</v>
      </c>
      <c r="F538"/>
      <c r="G538"/>
      <c r="H538"/>
    </row>
    <row r="539" spans="1:8" x14ac:dyDescent="0.3">
      <c r="A539" s="55" t="s">
        <v>62</v>
      </c>
      <c r="B539" s="56">
        <v>12</v>
      </c>
      <c r="C539" s="56">
        <v>11</v>
      </c>
      <c r="D539" s="57">
        <f t="shared" si="11"/>
        <v>0.91666666666666663</v>
      </c>
      <c r="E539" s="59" t="s">
        <v>97</v>
      </c>
      <c r="F539"/>
      <c r="G539"/>
      <c r="H539"/>
    </row>
    <row r="540" spans="1:8" x14ac:dyDescent="0.3">
      <c r="A540" s="55" t="s">
        <v>30</v>
      </c>
      <c r="B540" s="56">
        <v>6335</v>
      </c>
      <c r="C540" s="56">
        <v>5441</v>
      </c>
      <c r="D540" s="57">
        <f>SUM(C540/B540)</f>
        <v>0.85887924230465662</v>
      </c>
      <c r="E540" s="59" t="s">
        <v>98</v>
      </c>
    </row>
    <row r="541" spans="1:8" x14ac:dyDescent="0.3">
      <c r="A541" s="55" t="s">
        <v>31</v>
      </c>
      <c r="B541" s="56">
        <v>478</v>
      </c>
      <c r="C541" s="56">
        <v>425</v>
      </c>
      <c r="D541" s="57">
        <f t="shared" ref="D541:D604" si="12">SUM(C541/B541)</f>
        <v>0.88912133891213385</v>
      </c>
      <c r="E541" s="59" t="s">
        <v>98</v>
      </c>
      <c r="F541"/>
      <c r="G541"/>
    </row>
    <row r="542" spans="1:8" x14ac:dyDescent="0.3">
      <c r="A542" s="55" t="s">
        <v>32</v>
      </c>
      <c r="B542" s="56">
        <v>21</v>
      </c>
      <c r="C542" s="56">
        <v>10</v>
      </c>
      <c r="D542" s="57">
        <f t="shared" si="12"/>
        <v>0.47619047619047616</v>
      </c>
      <c r="E542" s="59" t="s">
        <v>98</v>
      </c>
      <c r="F542"/>
      <c r="G542"/>
    </row>
    <row r="543" spans="1:8" x14ac:dyDescent="0.3">
      <c r="A543" s="55" t="s">
        <v>33</v>
      </c>
      <c r="B543" s="56">
        <v>668</v>
      </c>
      <c r="C543" s="56">
        <v>635</v>
      </c>
      <c r="D543" s="57">
        <f t="shared" si="12"/>
        <v>0.95059880239520955</v>
      </c>
      <c r="E543" s="59" t="s">
        <v>98</v>
      </c>
      <c r="F543"/>
      <c r="G543"/>
    </row>
    <row r="544" spans="1:8" x14ac:dyDescent="0.3">
      <c r="A544" s="55" t="s">
        <v>57</v>
      </c>
      <c r="B544" s="56">
        <v>52</v>
      </c>
      <c r="C544" s="56">
        <v>47</v>
      </c>
      <c r="D544" s="57">
        <f t="shared" si="12"/>
        <v>0.90384615384615385</v>
      </c>
      <c r="E544" s="59" t="s">
        <v>98</v>
      </c>
      <c r="F544"/>
      <c r="G544"/>
    </row>
    <row r="545" spans="1:7" x14ac:dyDescent="0.3">
      <c r="A545" s="55" t="s">
        <v>63</v>
      </c>
      <c r="B545" s="56">
        <v>36</v>
      </c>
      <c r="C545" s="56">
        <v>26</v>
      </c>
      <c r="D545" s="57">
        <f t="shared" si="12"/>
        <v>0.72222222222222221</v>
      </c>
      <c r="E545" s="59" t="s">
        <v>98</v>
      </c>
      <c r="F545"/>
      <c r="G545"/>
    </row>
    <row r="546" spans="1:7" x14ac:dyDescent="0.3">
      <c r="A546" s="55" t="s">
        <v>58</v>
      </c>
      <c r="B546" s="56">
        <v>116</v>
      </c>
      <c r="C546" s="56">
        <v>75</v>
      </c>
      <c r="D546" s="57">
        <f t="shared" si="12"/>
        <v>0.64655172413793105</v>
      </c>
      <c r="E546" s="59" t="s">
        <v>98</v>
      </c>
      <c r="F546"/>
      <c r="G546"/>
    </row>
    <row r="547" spans="1:7" x14ac:dyDescent="0.3">
      <c r="A547" s="55" t="s">
        <v>35</v>
      </c>
      <c r="B547" s="56">
        <v>1491</v>
      </c>
      <c r="C547" s="56">
        <v>1300</v>
      </c>
      <c r="D547" s="57">
        <f t="shared" si="12"/>
        <v>0.87189805499664652</v>
      </c>
      <c r="E547" s="59" t="s">
        <v>98</v>
      </c>
      <c r="F547"/>
      <c r="G547"/>
    </row>
    <row r="548" spans="1:7" x14ac:dyDescent="0.3">
      <c r="A548" s="55" t="s">
        <v>36</v>
      </c>
      <c r="B548" s="56">
        <v>766</v>
      </c>
      <c r="C548" s="56">
        <v>676</v>
      </c>
      <c r="D548" s="57">
        <f t="shared" si="12"/>
        <v>0.88250652741514357</v>
      </c>
      <c r="E548" s="59" t="s">
        <v>98</v>
      </c>
      <c r="F548"/>
      <c r="G548"/>
    </row>
    <row r="549" spans="1:7" x14ac:dyDescent="0.3">
      <c r="A549" s="55" t="s">
        <v>64</v>
      </c>
      <c r="B549" s="56">
        <v>1356</v>
      </c>
      <c r="C549" s="56">
        <v>1257</v>
      </c>
      <c r="D549" s="57">
        <f t="shared" si="12"/>
        <v>0.92699115044247793</v>
      </c>
      <c r="E549" s="59" t="s">
        <v>98</v>
      </c>
      <c r="F549"/>
      <c r="G549"/>
    </row>
    <row r="550" spans="1:7" x14ac:dyDescent="0.3">
      <c r="A550" s="55" t="s">
        <v>59</v>
      </c>
      <c r="B550" s="56">
        <v>351</v>
      </c>
      <c r="C550" s="56">
        <v>257</v>
      </c>
      <c r="D550" s="57">
        <f t="shared" si="12"/>
        <v>0.73219373219373218</v>
      </c>
      <c r="E550" s="59" t="s">
        <v>98</v>
      </c>
      <c r="F550"/>
      <c r="G550"/>
    </row>
    <row r="551" spans="1:7" x14ac:dyDescent="0.3">
      <c r="A551" s="55" t="s">
        <v>60</v>
      </c>
      <c r="B551" s="56">
        <v>600</v>
      </c>
      <c r="C551" s="56">
        <v>382</v>
      </c>
      <c r="D551" s="57">
        <f t="shared" si="12"/>
        <v>0.63666666666666671</v>
      </c>
      <c r="E551" s="59" t="s">
        <v>98</v>
      </c>
      <c r="F551"/>
      <c r="G551"/>
    </row>
    <row r="552" spans="1:7" x14ac:dyDescent="0.3">
      <c r="A552" s="55" t="s">
        <v>37</v>
      </c>
      <c r="B552" s="56">
        <v>359</v>
      </c>
      <c r="C552" s="56">
        <v>313</v>
      </c>
      <c r="D552" s="57">
        <f t="shared" si="12"/>
        <v>0.871866295264624</v>
      </c>
      <c r="E552" s="59" t="s">
        <v>98</v>
      </c>
      <c r="F552"/>
      <c r="G552"/>
    </row>
    <row r="553" spans="1:7" x14ac:dyDescent="0.3">
      <c r="A553" s="55" t="s">
        <v>61</v>
      </c>
      <c r="B553" s="56">
        <v>11</v>
      </c>
      <c r="C553" s="56">
        <v>10</v>
      </c>
      <c r="D553" s="57">
        <f t="shared" si="12"/>
        <v>0.90909090909090906</v>
      </c>
      <c r="E553" s="59" t="s">
        <v>98</v>
      </c>
      <c r="F553"/>
      <c r="G553"/>
    </row>
    <row r="554" spans="1:7" x14ac:dyDescent="0.3">
      <c r="A554" s="55" t="s">
        <v>62</v>
      </c>
      <c r="B554" s="56">
        <v>30</v>
      </c>
      <c r="C554" s="56">
        <v>28</v>
      </c>
      <c r="D554" s="57">
        <f t="shared" si="12"/>
        <v>0.93333333333333335</v>
      </c>
      <c r="E554" s="59" t="s">
        <v>98</v>
      </c>
      <c r="F554"/>
      <c r="G554"/>
    </row>
    <row r="555" spans="1:7" x14ac:dyDescent="0.3">
      <c r="A555" s="55" t="s">
        <v>30</v>
      </c>
      <c r="B555" s="56">
        <v>6440</v>
      </c>
      <c r="C555" s="56">
        <v>5446</v>
      </c>
      <c r="D555" s="57">
        <f t="shared" si="12"/>
        <v>0.84565217391304348</v>
      </c>
      <c r="E555" s="59" t="s">
        <v>99</v>
      </c>
    </row>
    <row r="556" spans="1:7" x14ac:dyDescent="0.3">
      <c r="A556" s="55" t="s">
        <v>31</v>
      </c>
      <c r="B556" s="56">
        <v>470</v>
      </c>
      <c r="C556" s="56">
        <v>411</v>
      </c>
      <c r="D556" s="57">
        <f t="shared" si="12"/>
        <v>0.87446808510638296</v>
      </c>
      <c r="E556" s="59" t="s">
        <v>99</v>
      </c>
      <c r="F556"/>
      <c r="G556"/>
    </row>
    <row r="557" spans="1:7" x14ac:dyDescent="0.3">
      <c r="A557" s="55" t="s">
        <v>32</v>
      </c>
      <c r="B557" s="56">
        <v>25</v>
      </c>
      <c r="C557" s="56">
        <v>18</v>
      </c>
      <c r="D557" s="57">
        <f t="shared" si="12"/>
        <v>0.72</v>
      </c>
      <c r="E557" s="59" t="s">
        <v>99</v>
      </c>
      <c r="F557"/>
      <c r="G557"/>
    </row>
    <row r="558" spans="1:7" x14ac:dyDescent="0.3">
      <c r="A558" s="55" t="s">
        <v>33</v>
      </c>
      <c r="B558" s="56">
        <v>560</v>
      </c>
      <c r="C558" s="56">
        <v>517</v>
      </c>
      <c r="D558" s="57">
        <f t="shared" si="12"/>
        <v>0.92321428571428577</v>
      </c>
      <c r="E558" s="59" t="s">
        <v>99</v>
      </c>
      <c r="F558"/>
      <c r="G558"/>
    </row>
    <row r="559" spans="1:7" x14ac:dyDescent="0.3">
      <c r="A559" s="55" t="s">
        <v>57</v>
      </c>
      <c r="B559" s="56">
        <v>243</v>
      </c>
      <c r="C559" s="56">
        <v>208</v>
      </c>
      <c r="D559" s="57">
        <f t="shared" si="12"/>
        <v>0.8559670781893004</v>
      </c>
      <c r="E559" s="59" t="s">
        <v>99</v>
      </c>
      <c r="F559"/>
      <c r="G559"/>
    </row>
    <row r="560" spans="1:7" x14ac:dyDescent="0.3">
      <c r="A560" s="55" t="s">
        <v>63</v>
      </c>
      <c r="B560" s="56">
        <v>105</v>
      </c>
      <c r="C560" s="56">
        <v>91</v>
      </c>
      <c r="D560" s="57">
        <f t="shared" si="12"/>
        <v>0.8666666666666667</v>
      </c>
      <c r="E560" s="59" t="s">
        <v>99</v>
      </c>
      <c r="F560"/>
      <c r="G560"/>
    </row>
    <row r="561" spans="1:8" x14ac:dyDescent="0.3">
      <c r="A561" s="55" t="s">
        <v>58</v>
      </c>
      <c r="B561" s="56">
        <v>139</v>
      </c>
      <c r="C561" s="56">
        <v>87</v>
      </c>
      <c r="D561" s="57">
        <f t="shared" si="12"/>
        <v>0.62589928057553956</v>
      </c>
      <c r="E561" s="59" t="s">
        <v>99</v>
      </c>
      <c r="F561"/>
      <c r="G561"/>
    </row>
    <row r="562" spans="1:8" x14ac:dyDescent="0.3">
      <c r="A562" s="55" t="s">
        <v>35</v>
      </c>
      <c r="B562" s="56">
        <v>1259</v>
      </c>
      <c r="C562" s="56">
        <v>1101</v>
      </c>
      <c r="D562" s="57">
        <f t="shared" si="12"/>
        <v>0.87450357426528991</v>
      </c>
      <c r="E562" s="59" t="s">
        <v>99</v>
      </c>
      <c r="F562"/>
      <c r="G562"/>
    </row>
    <row r="563" spans="1:8" x14ac:dyDescent="0.3">
      <c r="A563" s="55" t="s">
        <v>36</v>
      </c>
      <c r="B563" s="56">
        <v>1413</v>
      </c>
      <c r="C563" s="56">
        <v>1224</v>
      </c>
      <c r="D563" s="57">
        <f t="shared" si="12"/>
        <v>0.86624203821656054</v>
      </c>
      <c r="E563" s="59" t="s">
        <v>99</v>
      </c>
      <c r="F563"/>
      <c r="G563"/>
    </row>
    <row r="564" spans="1:8" x14ac:dyDescent="0.3">
      <c r="A564" s="55" t="s">
        <v>64</v>
      </c>
      <c r="B564" s="56">
        <v>1044</v>
      </c>
      <c r="C564" s="56">
        <v>942</v>
      </c>
      <c r="D564" s="57">
        <f t="shared" si="12"/>
        <v>0.9022988505747126</v>
      </c>
      <c r="E564" s="59" t="s">
        <v>99</v>
      </c>
      <c r="F564"/>
      <c r="G564"/>
    </row>
    <row r="565" spans="1:8" x14ac:dyDescent="0.3">
      <c r="A565" s="55" t="s">
        <v>59</v>
      </c>
      <c r="B565" s="56">
        <v>231</v>
      </c>
      <c r="C565" s="56">
        <v>162</v>
      </c>
      <c r="D565" s="57">
        <f t="shared" si="12"/>
        <v>0.70129870129870131</v>
      </c>
      <c r="E565" s="59" t="s">
        <v>99</v>
      </c>
      <c r="F565"/>
      <c r="G565"/>
    </row>
    <row r="566" spans="1:8" x14ac:dyDescent="0.3">
      <c r="A566" s="55" t="s">
        <v>60</v>
      </c>
      <c r="B566" s="56">
        <v>629</v>
      </c>
      <c r="C566" s="56">
        <v>398</v>
      </c>
      <c r="D566" s="57">
        <f t="shared" si="12"/>
        <v>0.63275039745627981</v>
      </c>
      <c r="E566" s="59" t="s">
        <v>99</v>
      </c>
      <c r="F566"/>
      <c r="G566"/>
    </row>
    <row r="567" spans="1:8" x14ac:dyDescent="0.3">
      <c r="A567" s="55" t="s">
        <v>37</v>
      </c>
      <c r="B567" s="56">
        <v>299</v>
      </c>
      <c r="C567" s="56">
        <v>265</v>
      </c>
      <c r="D567" s="57">
        <f t="shared" si="12"/>
        <v>0.88628762541806017</v>
      </c>
      <c r="E567" s="59" t="s">
        <v>99</v>
      </c>
      <c r="F567"/>
      <c r="G567"/>
    </row>
    <row r="568" spans="1:8" x14ac:dyDescent="0.3">
      <c r="A568" s="55" t="s">
        <v>61</v>
      </c>
      <c r="B568" s="56">
        <v>23</v>
      </c>
      <c r="C568" s="56">
        <v>22</v>
      </c>
      <c r="D568" s="57">
        <f t="shared" si="12"/>
        <v>0.95652173913043481</v>
      </c>
      <c r="E568" s="59" t="s">
        <v>99</v>
      </c>
      <c r="F568"/>
      <c r="G568"/>
    </row>
    <row r="569" spans="1:8" x14ac:dyDescent="0.3">
      <c r="A569" s="55" t="s">
        <v>30</v>
      </c>
      <c r="B569" s="56">
        <v>6518</v>
      </c>
      <c r="C569" s="56">
        <v>5503</v>
      </c>
      <c r="D569" s="57">
        <f t="shared" si="12"/>
        <v>0.84427738570113531</v>
      </c>
      <c r="E569" s="59" t="s">
        <v>100</v>
      </c>
      <c r="H569"/>
    </row>
    <row r="570" spans="1:8" x14ac:dyDescent="0.3">
      <c r="A570" s="55" t="s">
        <v>31</v>
      </c>
      <c r="B570" s="56">
        <v>412</v>
      </c>
      <c r="C570" s="56">
        <v>352</v>
      </c>
      <c r="D570" s="57">
        <f t="shared" si="12"/>
        <v>0.85436893203883491</v>
      </c>
      <c r="E570" s="59" t="s">
        <v>100</v>
      </c>
      <c r="F570"/>
      <c r="G570"/>
      <c r="H570"/>
    </row>
    <row r="571" spans="1:8" x14ac:dyDescent="0.3">
      <c r="A571" s="55" t="s">
        <v>32</v>
      </c>
      <c r="B571" s="56">
        <v>36</v>
      </c>
      <c r="C571" s="56">
        <v>23</v>
      </c>
      <c r="D571" s="57">
        <f t="shared" si="12"/>
        <v>0.63888888888888884</v>
      </c>
      <c r="E571" s="59" t="s">
        <v>100</v>
      </c>
      <c r="F571"/>
      <c r="G571"/>
      <c r="H571"/>
    </row>
    <row r="572" spans="1:8" x14ac:dyDescent="0.3">
      <c r="A572" s="55" t="s">
        <v>33</v>
      </c>
      <c r="B572" s="56">
        <v>909</v>
      </c>
      <c r="C572" s="56">
        <v>853</v>
      </c>
      <c r="D572" s="57">
        <f t="shared" si="12"/>
        <v>0.93839383938393839</v>
      </c>
      <c r="E572" s="59" t="s">
        <v>100</v>
      </c>
      <c r="F572"/>
      <c r="G572"/>
      <c r="H572"/>
    </row>
    <row r="573" spans="1:8" x14ac:dyDescent="0.3">
      <c r="A573" s="55" t="s">
        <v>57</v>
      </c>
      <c r="B573" s="56">
        <v>43</v>
      </c>
      <c r="C573" s="56">
        <v>38</v>
      </c>
      <c r="D573" s="57">
        <f t="shared" si="12"/>
        <v>0.88372093023255816</v>
      </c>
      <c r="E573" s="59" t="s">
        <v>100</v>
      </c>
      <c r="F573"/>
      <c r="G573"/>
      <c r="H573"/>
    </row>
    <row r="574" spans="1:8" x14ac:dyDescent="0.3">
      <c r="A574" s="55" t="s">
        <v>63</v>
      </c>
      <c r="B574" s="56">
        <v>91</v>
      </c>
      <c r="C574" s="56">
        <v>82</v>
      </c>
      <c r="D574" s="57">
        <f t="shared" si="12"/>
        <v>0.90109890109890112</v>
      </c>
      <c r="E574" s="59" t="s">
        <v>100</v>
      </c>
      <c r="F574"/>
      <c r="G574"/>
      <c r="H574"/>
    </row>
    <row r="575" spans="1:8" x14ac:dyDescent="0.3">
      <c r="A575" s="55" t="s">
        <v>58</v>
      </c>
      <c r="B575" s="56">
        <v>98</v>
      </c>
      <c r="C575" s="56">
        <v>63</v>
      </c>
      <c r="D575" s="57">
        <f t="shared" si="12"/>
        <v>0.6428571428571429</v>
      </c>
      <c r="E575" s="59" t="s">
        <v>100</v>
      </c>
      <c r="F575"/>
      <c r="G575"/>
      <c r="H575"/>
    </row>
    <row r="576" spans="1:8" x14ac:dyDescent="0.3">
      <c r="A576" s="55" t="s">
        <v>35</v>
      </c>
      <c r="B576" s="56">
        <v>1411</v>
      </c>
      <c r="C576" s="56">
        <v>1178</v>
      </c>
      <c r="D576" s="57">
        <f t="shared" si="12"/>
        <v>0.83486888731396169</v>
      </c>
      <c r="E576" s="59" t="s">
        <v>100</v>
      </c>
      <c r="F576"/>
      <c r="G576"/>
      <c r="H576"/>
    </row>
    <row r="577" spans="1:9" x14ac:dyDescent="0.3">
      <c r="A577" s="55" t="s">
        <v>36</v>
      </c>
      <c r="B577" s="56">
        <v>1026</v>
      </c>
      <c r="C577" s="56">
        <v>875</v>
      </c>
      <c r="D577" s="57">
        <f t="shared" si="12"/>
        <v>0.8528265107212476</v>
      </c>
      <c r="E577" s="59" t="s">
        <v>100</v>
      </c>
      <c r="F577"/>
      <c r="G577"/>
      <c r="H577"/>
    </row>
    <row r="578" spans="1:9" x14ac:dyDescent="0.3">
      <c r="A578" s="55" t="s">
        <v>64</v>
      </c>
      <c r="B578" s="56">
        <v>1075</v>
      </c>
      <c r="C578" s="56">
        <v>992</v>
      </c>
      <c r="D578" s="57">
        <f t="shared" si="12"/>
        <v>0.92279069767441857</v>
      </c>
      <c r="E578" s="59" t="s">
        <v>100</v>
      </c>
      <c r="F578"/>
      <c r="G578"/>
      <c r="H578"/>
    </row>
    <row r="579" spans="1:9" x14ac:dyDescent="0.3">
      <c r="A579" s="55" t="s">
        <v>59</v>
      </c>
      <c r="B579" s="56">
        <v>371</v>
      </c>
      <c r="C579" s="56">
        <v>289</v>
      </c>
      <c r="D579" s="57">
        <f t="shared" si="12"/>
        <v>0.77897574123989222</v>
      </c>
      <c r="E579" s="59" t="s">
        <v>100</v>
      </c>
      <c r="F579"/>
      <c r="G579"/>
      <c r="H579"/>
    </row>
    <row r="580" spans="1:9" x14ac:dyDescent="0.3">
      <c r="A580" s="55" t="s">
        <v>60</v>
      </c>
      <c r="B580" s="56">
        <v>598</v>
      </c>
      <c r="C580" s="56">
        <v>369</v>
      </c>
      <c r="D580" s="57">
        <f t="shared" si="12"/>
        <v>0.617056856187291</v>
      </c>
      <c r="E580" s="59" t="s">
        <v>100</v>
      </c>
      <c r="F580"/>
      <c r="G580"/>
      <c r="H580"/>
    </row>
    <row r="581" spans="1:9" x14ac:dyDescent="0.3">
      <c r="A581" s="55" t="s">
        <v>37</v>
      </c>
      <c r="B581" s="56">
        <v>361</v>
      </c>
      <c r="C581" s="56">
        <v>307</v>
      </c>
      <c r="D581" s="57">
        <f t="shared" si="12"/>
        <v>0.85041551246537395</v>
      </c>
      <c r="E581" s="59" t="s">
        <v>100</v>
      </c>
      <c r="F581"/>
      <c r="G581"/>
      <c r="H581"/>
    </row>
    <row r="582" spans="1:9" x14ac:dyDescent="0.3">
      <c r="A582" s="55" t="s">
        <v>61</v>
      </c>
      <c r="B582" s="56">
        <v>25</v>
      </c>
      <c r="C582" s="56">
        <v>23</v>
      </c>
      <c r="D582" s="57">
        <f t="shared" si="12"/>
        <v>0.92</v>
      </c>
      <c r="E582" s="59" t="s">
        <v>100</v>
      </c>
      <c r="F582"/>
      <c r="G582"/>
      <c r="H582"/>
    </row>
    <row r="583" spans="1:9" x14ac:dyDescent="0.3">
      <c r="A583" s="55" t="s">
        <v>62</v>
      </c>
      <c r="B583" s="56">
        <v>62</v>
      </c>
      <c r="C583" s="56">
        <v>59</v>
      </c>
      <c r="D583" s="57">
        <f t="shared" si="12"/>
        <v>0.95161290322580649</v>
      </c>
      <c r="E583" s="59" t="s">
        <v>100</v>
      </c>
      <c r="F583"/>
      <c r="G583"/>
      <c r="H583"/>
    </row>
    <row r="584" spans="1:9" x14ac:dyDescent="0.3">
      <c r="A584" s="55" t="s">
        <v>30</v>
      </c>
      <c r="B584" s="56">
        <v>7041</v>
      </c>
      <c r="C584" s="56">
        <v>5989</v>
      </c>
      <c r="D584" s="57">
        <f t="shared" si="12"/>
        <v>0.85058940491407475</v>
      </c>
      <c r="E584" s="59" t="s">
        <v>101</v>
      </c>
      <c r="H584"/>
      <c r="I584"/>
    </row>
    <row r="585" spans="1:9" x14ac:dyDescent="0.3">
      <c r="A585" s="55" t="s">
        <v>31</v>
      </c>
      <c r="B585" s="56">
        <v>437</v>
      </c>
      <c r="C585" s="56">
        <v>369</v>
      </c>
      <c r="D585" s="57">
        <f t="shared" si="12"/>
        <v>0.84439359267734548</v>
      </c>
      <c r="E585" s="59" t="s">
        <v>101</v>
      </c>
      <c r="F585"/>
      <c r="G585"/>
      <c r="H585"/>
      <c r="I585"/>
    </row>
    <row r="586" spans="1:9" x14ac:dyDescent="0.3">
      <c r="A586" s="55" t="s">
        <v>32</v>
      </c>
      <c r="B586" s="56">
        <v>36</v>
      </c>
      <c r="C586" s="56">
        <v>21</v>
      </c>
      <c r="D586" s="57">
        <f t="shared" si="12"/>
        <v>0.58333333333333337</v>
      </c>
      <c r="E586" s="59" t="s">
        <v>101</v>
      </c>
      <c r="F586"/>
      <c r="G586"/>
      <c r="H586"/>
      <c r="I586"/>
    </row>
    <row r="587" spans="1:9" x14ac:dyDescent="0.3">
      <c r="A587" s="55" t="s">
        <v>33</v>
      </c>
      <c r="B587" s="56">
        <v>673</v>
      </c>
      <c r="C587" s="56">
        <v>633</v>
      </c>
      <c r="D587" s="57">
        <f t="shared" si="12"/>
        <v>0.94056463595839523</v>
      </c>
      <c r="E587" s="59" t="s">
        <v>101</v>
      </c>
      <c r="F587"/>
      <c r="G587"/>
      <c r="H587"/>
      <c r="I587"/>
    </row>
    <row r="588" spans="1:9" x14ac:dyDescent="0.3">
      <c r="A588" s="55" t="s">
        <v>57</v>
      </c>
      <c r="B588" s="56">
        <v>36</v>
      </c>
      <c r="C588" s="56">
        <v>32</v>
      </c>
      <c r="D588" s="57">
        <f t="shared" si="12"/>
        <v>0.88888888888888884</v>
      </c>
      <c r="E588" s="59" t="s">
        <v>101</v>
      </c>
      <c r="F588"/>
      <c r="G588"/>
      <c r="H588"/>
      <c r="I588"/>
    </row>
    <row r="589" spans="1:9" x14ac:dyDescent="0.3">
      <c r="A589" s="55" t="s">
        <v>63</v>
      </c>
      <c r="B589" s="56">
        <v>127</v>
      </c>
      <c r="C589" s="56">
        <v>111</v>
      </c>
      <c r="D589" s="57">
        <f t="shared" si="12"/>
        <v>0.87401574803149606</v>
      </c>
      <c r="E589" s="59" t="s">
        <v>101</v>
      </c>
      <c r="F589"/>
      <c r="G589"/>
      <c r="H589"/>
      <c r="I589"/>
    </row>
    <row r="590" spans="1:9" x14ac:dyDescent="0.3">
      <c r="A590" s="55" t="s">
        <v>58</v>
      </c>
      <c r="B590" s="56">
        <v>94</v>
      </c>
      <c r="C590" s="56">
        <v>62</v>
      </c>
      <c r="D590" s="57">
        <f t="shared" si="12"/>
        <v>0.65957446808510634</v>
      </c>
      <c r="E590" s="59" t="s">
        <v>101</v>
      </c>
      <c r="F590"/>
      <c r="G590"/>
      <c r="H590"/>
      <c r="I590"/>
    </row>
    <row r="591" spans="1:9" x14ac:dyDescent="0.3">
      <c r="A591" s="55" t="s">
        <v>35</v>
      </c>
      <c r="B591" s="56">
        <v>1570</v>
      </c>
      <c r="C591" s="56">
        <v>1356</v>
      </c>
      <c r="D591" s="57">
        <f t="shared" si="12"/>
        <v>0.8636942675159236</v>
      </c>
      <c r="E591" s="59" t="s">
        <v>101</v>
      </c>
      <c r="F591"/>
      <c r="G591"/>
      <c r="H591"/>
      <c r="I591"/>
    </row>
    <row r="592" spans="1:9" x14ac:dyDescent="0.3">
      <c r="A592" s="55" t="s">
        <v>36</v>
      </c>
      <c r="B592" s="56">
        <v>1477</v>
      </c>
      <c r="C592" s="56">
        <v>1250</v>
      </c>
      <c r="D592" s="57">
        <f t="shared" si="12"/>
        <v>0.84631008801624918</v>
      </c>
      <c r="E592" s="59" t="s">
        <v>101</v>
      </c>
      <c r="F592"/>
      <c r="G592"/>
      <c r="H592"/>
      <c r="I592"/>
    </row>
    <row r="593" spans="1:9" x14ac:dyDescent="0.3">
      <c r="A593" s="55" t="s">
        <v>64</v>
      </c>
      <c r="B593" s="56">
        <v>1224</v>
      </c>
      <c r="C593" s="56">
        <v>1134</v>
      </c>
      <c r="D593" s="57">
        <f t="shared" si="12"/>
        <v>0.92647058823529416</v>
      </c>
      <c r="E593" s="59" t="s">
        <v>101</v>
      </c>
      <c r="F593"/>
      <c r="G593"/>
      <c r="H593"/>
      <c r="I593"/>
    </row>
    <row r="594" spans="1:9" x14ac:dyDescent="0.3">
      <c r="A594" s="55" t="s">
        <v>59</v>
      </c>
      <c r="B594" s="56">
        <v>453</v>
      </c>
      <c r="C594" s="56">
        <v>347</v>
      </c>
      <c r="D594" s="57">
        <f t="shared" si="12"/>
        <v>0.76600441501103755</v>
      </c>
      <c r="E594" s="59" t="s">
        <v>101</v>
      </c>
      <c r="F594"/>
      <c r="G594"/>
      <c r="H594"/>
      <c r="I594"/>
    </row>
    <row r="595" spans="1:9" x14ac:dyDescent="0.3">
      <c r="A595" s="55" t="s">
        <v>60</v>
      </c>
      <c r="B595" s="56">
        <v>440</v>
      </c>
      <c r="C595" s="56">
        <v>268</v>
      </c>
      <c r="D595" s="57">
        <f t="shared" si="12"/>
        <v>0.60909090909090913</v>
      </c>
      <c r="E595" s="59" t="s">
        <v>101</v>
      </c>
      <c r="F595"/>
      <c r="G595"/>
      <c r="H595"/>
      <c r="I595"/>
    </row>
    <row r="596" spans="1:9" x14ac:dyDescent="0.3">
      <c r="A596" s="55" t="s">
        <v>37</v>
      </c>
      <c r="B596" s="56">
        <v>382</v>
      </c>
      <c r="C596" s="56">
        <v>325</v>
      </c>
      <c r="D596" s="57">
        <f t="shared" si="12"/>
        <v>0.85078534031413611</v>
      </c>
      <c r="E596" s="59" t="s">
        <v>101</v>
      </c>
      <c r="F596"/>
      <c r="G596"/>
      <c r="H596"/>
      <c r="I596"/>
    </row>
    <row r="597" spans="1:9" x14ac:dyDescent="0.3">
      <c r="A597" s="55" t="s">
        <v>61</v>
      </c>
      <c r="B597" s="56">
        <v>51</v>
      </c>
      <c r="C597" s="56">
        <v>46</v>
      </c>
      <c r="D597" s="57">
        <f t="shared" si="12"/>
        <v>0.90196078431372551</v>
      </c>
      <c r="E597" s="59" t="s">
        <v>101</v>
      </c>
      <c r="F597"/>
      <c r="G597"/>
      <c r="H597"/>
      <c r="I597"/>
    </row>
    <row r="598" spans="1:9" x14ac:dyDescent="0.3">
      <c r="A598" s="55" t="s">
        <v>62</v>
      </c>
      <c r="B598" s="56">
        <v>41</v>
      </c>
      <c r="C598" s="56">
        <v>35</v>
      </c>
      <c r="D598" s="57">
        <f t="shared" si="12"/>
        <v>0.85365853658536583</v>
      </c>
      <c r="E598" s="59" t="s">
        <v>101</v>
      </c>
      <c r="F598"/>
      <c r="G598"/>
      <c r="H598"/>
      <c r="I598"/>
    </row>
    <row r="599" spans="1:9" x14ac:dyDescent="0.3">
      <c r="A599" s="55" t="s">
        <v>30</v>
      </c>
      <c r="B599" s="56">
        <v>7132</v>
      </c>
      <c r="C599" s="56">
        <v>6053</v>
      </c>
      <c r="D599" s="57">
        <f t="shared" si="12"/>
        <v>0.8487100392596747</v>
      </c>
      <c r="E599" s="59" t="s">
        <v>102</v>
      </c>
      <c r="H599"/>
    </row>
    <row r="600" spans="1:9" x14ac:dyDescent="0.3">
      <c r="A600" s="55" t="s">
        <v>31</v>
      </c>
      <c r="B600" s="56">
        <v>407</v>
      </c>
      <c r="C600" s="56">
        <v>355</v>
      </c>
      <c r="D600" s="57">
        <f t="shared" si="12"/>
        <v>0.87223587223587229</v>
      </c>
      <c r="E600" s="59" t="s">
        <v>102</v>
      </c>
      <c r="F600"/>
      <c r="G600"/>
      <c r="H600"/>
    </row>
    <row r="601" spans="1:9" x14ac:dyDescent="0.3">
      <c r="A601" s="55" t="s">
        <v>32</v>
      </c>
      <c r="B601" s="56">
        <v>28</v>
      </c>
      <c r="C601" s="56">
        <v>21</v>
      </c>
      <c r="D601" s="57">
        <f t="shared" si="12"/>
        <v>0.75</v>
      </c>
      <c r="E601" s="59" t="s">
        <v>102</v>
      </c>
      <c r="F601"/>
      <c r="G601"/>
      <c r="H601"/>
    </row>
    <row r="602" spans="1:9" x14ac:dyDescent="0.3">
      <c r="A602" s="55" t="s">
        <v>33</v>
      </c>
      <c r="B602" s="56">
        <v>735</v>
      </c>
      <c r="C602" s="56">
        <v>693</v>
      </c>
      <c r="D602" s="57">
        <f t="shared" si="12"/>
        <v>0.94285714285714284</v>
      </c>
      <c r="E602" s="59" t="s">
        <v>102</v>
      </c>
      <c r="F602"/>
      <c r="G602"/>
      <c r="H602"/>
    </row>
    <row r="603" spans="1:9" x14ac:dyDescent="0.3">
      <c r="A603" s="55" t="s">
        <v>57</v>
      </c>
      <c r="B603" s="56">
        <v>99</v>
      </c>
      <c r="C603" s="56">
        <v>82</v>
      </c>
      <c r="D603" s="57">
        <f t="shared" si="12"/>
        <v>0.82828282828282829</v>
      </c>
      <c r="E603" s="59" t="s">
        <v>102</v>
      </c>
      <c r="F603"/>
      <c r="G603"/>
      <c r="H603"/>
    </row>
    <row r="604" spans="1:9" x14ac:dyDescent="0.3">
      <c r="A604" s="55" t="s">
        <v>63</v>
      </c>
      <c r="B604" s="56">
        <v>39</v>
      </c>
      <c r="C604" s="56">
        <v>36</v>
      </c>
      <c r="D604" s="57">
        <f t="shared" si="12"/>
        <v>0.92307692307692313</v>
      </c>
      <c r="E604" s="59" t="s">
        <v>102</v>
      </c>
      <c r="F604"/>
      <c r="G604"/>
      <c r="H604"/>
    </row>
    <row r="605" spans="1:9" x14ac:dyDescent="0.3">
      <c r="A605" s="55" t="s">
        <v>58</v>
      </c>
      <c r="B605" s="56">
        <v>118</v>
      </c>
      <c r="C605" s="56">
        <v>79</v>
      </c>
      <c r="D605" s="57">
        <f t="shared" ref="D605:D667" si="13">SUM(C605/B605)</f>
        <v>0.66949152542372881</v>
      </c>
      <c r="E605" s="59" t="s">
        <v>102</v>
      </c>
      <c r="F605"/>
      <c r="G605"/>
      <c r="H605"/>
    </row>
    <row r="606" spans="1:9" x14ac:dyDescent="0.3">
      <c r="A606" s="55" t="s">
        <v>35</v>
      </c>
      <c r="B606" s="56">
        <v>1480</v>
      </c>
      <c r="C606" s="56">
        <v>1295</v>
      </c>
      <c r="D606" s="57">
        <f t="shared" si="13"/>
        <v>0.875</v>
      </c>
      <c r="E606" s="59" t="s">
        <v>102</v>
      </c>
      <c r="F606"/>
      <c r="G606"/>
      <c r="H606"/>
    </row>
    <row r="607" spans="1:9" x14ac:dyDescent="0.3">
      <c r="A607" s="55" t="s">
        <v>36</v>
      </c>
      <c r="B607" s="56">
        <v>1393</v>
      </c>
      <c r="C607" s="56">
        <v>1175</v>
      </c>
      <c r="D607" s="57">
        <f t="shared" si="13"/>
        <v>0.84350323043790376</v>
      </c>
      <c r="E607" s="59" t="s">
        <v>102</v>
      </c>
      <c r="F607"/>
      <c r="G607"/>
      <c r="H607"/>
    </row>
    <row r="608" spans="1:9" x14ac:dyDescent="0.3">
      <c r="A608" s="55" t="s">
        <v>64</v>
      </c>
      <c r="B608" s="56">
        <v>1341</v>
      </c>
      <c r="C608" s="56">
        <v>1222</v>
      </c>
      <c r="D608" s="57">
        <f t="shared" si="13"/>
        <v>0.91126025354213269</v>
      </c>
      <c r="E608" s="59" t="s">
        <v>102</v>
      </c>
      <c r="F608"/>
      <c r="G608"/>
      <c r="H608"/>
    </row>
    <row r="609" spans="1:8" x14ac:dyDescent="0.3">
      <c r="A609" s="55" t="s">
        <v>59</v>
      </c>
      <c r="B609" s="56">
        <v>311</v>
      </c>
      <c r="C609" s="56">
        <v>234</v>
      </c>
      <c r="D609" s="57">
        <f t="shared" si="13"/>
        <v>0.752411575562701</v>
      </c>
      <c r="E609" s="59" t="s">
        <v>102</v>
      </c>
      <c r="F609"/>
      <c r="G609"/>
      <c r="H609"/>
    </row>
    <row r="610" spans="1:8" x14ac:dyDescent="0.3">
      <c r="A610" s="55" t="s">
        <v>60</v>
      </c>
      <c r="B610" s="56">
        <v>617</v>
      </c>
      <c r="C610" s="56">
        <v>361</v>
      </c>
      <c r="D610" s="57">
        <f t="shared" si="13"/>
        <v>0.5850891410048622</v>
      </c>
      <c r="E610" s="59" t="s">
        <v>102</v>
      </c>
      <c r="F610"/>
      <c r="G610"/>
      <c r="H610"/>
    </row>
    <row r="611" spans="1:8" x14ac:dyDescent="0.3">
      <c r="A611" s="55" t="s">
        <v>37</v>
      </c>
      <c r="B611" s="56">
        <v>536</v>
      </c>
      <c r="C611" s="56">
        <v>477</v>
      </c>
      <c r="D611" s="57">
        <f t="shared" si="13"/>
        <v>0.8899253731343284</v>
      </c>
      <c r="E611" s="59" t="s">
        <v>102</v>
      </c>
      <c r="F611"/>
      <c r="G611"/>
      <c r="H611"/>
    </row>
    <row r="612" spans="1:8" x14ac:dyDescent="0.3">
      <c r="A612" s="55" t="s">
        <v>61</v>
      </c>
      <c r="B612" s="56">
        <v>8</v>
      </c>
      <c r="C612" s="56">
        <v>5</v>
      </c>
      <c r="D612" s="57">
        <f t="shared" si="13"/>
        <v>0.625</v>
      </c>
      <c r="E612" s="59" t="s">
        <v>102</v>
      </c>
      <c r="F612"/>
      <c r="G612"/>
      <c r="H612"/>
    </row>
    <row r="613" spans="1:8" x14ac:dyDescent="0.3">
      <c r="A613" s="55" t="s">
        <v>62</v>
      </c>
      <c r="B613" s="56">
        <v>20</v>
      </c>
      <c r="C613" s="56">
        <v>18</v>
      </c>
      <c r="D613" s="57">
        <f t="shared" si="13"/>
        <v>0.9</v>
      </c>
      <c r="E613" s="59" t="s">
        <v>102</v>
      </c>
      <c r="F613"/>
      <c r="G613"/>
      <c r="H613"/>
    </row>
    <row r="614" spans="1:8" x14ac:dyDescent="0.3">
      <c r="A614" s="55" t="s">
        <v>31</v>
      </c>
      <c r="B614" s="56">
        <v>402</v>
      </c>
      <c r="C614" s="56">
        <v>354</v>
      </c>
      <c r="D614" s="57">
        <f t="shared" si="13"/>
        <v>0.88059701492537312</v>
      </c>
      <c r="E614" s="59" t="s">
        <v>106</v>
      </c>
    </row>
    <row r="615" spans="1:8" x14ac:dyDescent="0.3">
      <c r="A615" s="55" t="s">
        <v>32</v>
      </c>
      <c r="B615" s="56">
        <v>23</v>
      </c>
      <c r="C615" s="56">
        <v>14</v>
      </c>
      <c r="D615" s="57">
        <f t="shared" si="13"/>
        <v>0.60869565217391308</v>
      </c>
      <c r="E615" s="59" t="s">
        <v>103</v>
      </c>
    </row>
    <row r="616" spans="1:8" x14ac:dyDescent="0.3">
      <c r="A616" s="55" t="s">
        <v>33</v>
      </c>
      <c r="B616" s="56">
        <v>642</v>
      </c>
      <c r="C616" s="56">
        <v>605</v>
      </c>
      <c r="D616" s="57">
        <f t="shared" si="13"/>
        <v>0.94236760124610597</v>
      </c>
      <c r="E616" s="59" t="s">
        <v>103</v>
      </c>
    </row>
    <row r="617" spans="1:8" x14ac:dyDescent="0.3">
      <c r="A617" s="55" t="s">
        <v>57</v>
      </c>
      <c r="B617" s="56">
        <v>84</v>
      </c>
      <c r="C617" s="56">
        <v>76</v>
      </c>
      <c r="D617" s="57">
        <f t="shared" si="13"/>
        <v>0.90476190476190477</v>
      </c>
      <c r="E617" s="59" t="s">
        <v>103</v>
      </c>
    </row>
    <row r="618" spans="1:8" x14ac:dyDescent="0.3">
      <c r="A618" s="55" t="s">
        <v>58</v>
      </c>
      <c r="B618" s="56">
        <v>110</v>
      </c>
      <c r="C618" s="56">
        <v>73</v>
      </c>
      <c r="D618" s="57">
        <f t="shared" si="13"/>
        <v>0.66363636363636369</v>
      </c>
      <c r="E618" s="59" t="s">
        <v>103</v>
      </c>
    </row>
    <row r="619" spans="1:8" x14ac:dyDescent="0.3">
      <c r="A619" s="55" t="s">
        <v>35</v>
      </c>
      <c r="B619" s="56">
        <v>1038</v>
      </c>
      <c r="C619" s="56">
        <v>882</v>
      </c>
      <c r="D619" s="57">
        <f t="shared" si="13"/>
        <v>0.8497109826589595</v>
      </c>
      <c r="E619" s="59" t="s">
        <v>103</v>
      </c>
    </row>
    <row r="620" spans="1:8" x14ac:dyDescent="0.3">
      <c r="A620" s="55" t="s">
        <v>36</v>
      </c>
      <c r="B620" s="56">
        <v>1068</v>
      </c>
      <c r="C620" s="56">
        <v>913</v>
      </c>
      <c r="D620" s="57">
        <f t="shared" si="13"/>
        <v>0.85486891385767794</v>
      </c>
      <c r="E620" s="59" t="s">
        <v>103</v>
      </c>
    </row>
    <row r="621" spans="1:8" x14ac:dyDescent="0.3">
      <c r="A621" s="55" t="s">
        <v>64</v>
      </c>
      <c r="B621" s="56">
        <v>1007</v>
      </c>
      <c r="C621" s="56">
        <v>921</v>
      </c>
      <c r="D621" s="57">
        <f t="shared" si="13"/>
        <v>0.91459781529294937</v>
      </c>
      <c r="E621" s="59" t="s">
        <v>103</v>
      </c>
    </row>
    <row r="622" spans="1:8" x14ac:dyDescent="0.3">
      <c r="A622" s="55" t="s">
        <v>59</v>
      </c>
      <c r="B622" s="56">
        <v>308</v>
      </c>
      <c r="C622" s="56">
        <v>233</v>
      </c>
      <c r="D622" s="57">
        <f t="shared" si="13"/>
        <v>0.75649350649350644</v>
      </c>
      <c r="E622" s="59" t="s">
        <v>103</v>
      </c>
    </row>
    <row r="623" spans="1:8" x14ac:dyDescent="0.3">
      <c r="A623" s="55" t="s">
        <v>60</v>
      </c>
      <c r="B623" s="56">
        <v>450</v>
      </c>
      <c r="C623" s="56">
        <v>261</v>
      </c>
      <c r="D623" s="57">
        <f t="shared" si="13"/>
        <v>0.57999999999999996</v>
      </c>
      <c r="E623" s="59" t="s">
        <v>103</v>
      </c>
    </row>
    <row r="624" spans="1:8" x14ac:dyDescent="0.3">
      <c r="A624" s="55" t="s">
        <v>37</v>
      </c>
      <c r="B624" s="56">
        <v>299</v>
      </c>
      <c r="C624" s="56">
        <v>265</v>
      </c>
      <c r="D624" s="57">
        <f t="shared" si="13"/>
        <v>0.88628762541806017</v>
      </c>
      <c r="E624" s="59" t="s">
        <v>103</v>
      </c>
    </row>
    <row r="625" spans="1:5" x14ac:dyDescent="0.3">
      <c r="A625" s="55" t="s">
        <v>61</v>
      </c>
      <c r="B625" s="56">
        <v>7</v>
      </c>
      <c r="C625" s="56">
        <v>6</v>
      </c>
      <c r="D625" s="57">
        <f t="shared" si="13"/>
        <v>0.8571428571428571</v>
      </c>
      <c r="E625" s="59" t="s">
        <v>103</v>
      </c>
    </row>
    <row r="626" spans="1:5" x14ac:dyDescent="0.3">
      <c r="A626" s="55" t="s">
        <v>31</v>
      </c>
      <c r="B626" s="56">
        <v>500</v>
      </c>
      <c r="C626" s="56">
        <v>425</v>
      </c>
      <c r="D626" s="57">
        <f t="shared" si="13"/>
        <v>0.85</v>
      </c>
      <c r="E626" s="59" t="s">
        <v>104</v>
      </c>
    </row>
    <row r="627" spans="1:5" x14ac:dyDescent="0.3">
      <c r="A627" s="55" t="s">
        <v>32</v>
      </c>
      <c r="B627" s="56">
        <v>29</v>
      </c>
      <c r="C627" s="56">
        <v>18</v>
      </c>
      <c r="D627" s="57">
        <f t="shared" si="13"/>
        <v>0.62068965517241381</v>
      </c>
      <c r="E627" s="59" t="s">
        <v>104</v>
      </c>
    </row>
    <row r="628" spans="1:5" x14ac:dyDescent="0.3">
      <c r="A628" s="55" t="s">
        <v>33</v>
      </c>
      <c r="B628" s="56">
        <v>617</v>
      </c>
      <c r="C628" s="56">
        <v>584</v>
      </c>
      <c r="D628" s="57">
        <f t="shared" si="13"/>
        <v>0.94651539708265797</v>
      </c>
      <c r="E628" s="59" t="s">
        <v>104</v>
      </c>
    </row>
    <row r="629" spans="1:5" x14ac:dyDescent="0.3">
      <c r="A629" s="55" t="s">
        <v>57</v>
      </c>
      <c r="B629" s="56">
        <v>108</v>
      </c>
      <c r="C629" s="56">
        <v>97</v>
      </c>
      <c r="D629" s="57">
        <f t="shared" si="13"/>
        <v>0.89814814814814814</v>
      </c>
      <c r="E629" s="59" t="s">
        <v>104</v>
      </c>
    </row>
    <row r="630" spans="1:5" x14ac:dyDescent="0.3">
      <c r="A630" s="55" t="s">
        <v>63</v>
      </c>
      <c r="B630" s="56">
        <v>32</v>
      </c>
      <c r="C630" s="56">
        <v>30</v>
      </c>
      <c r="D630" s="57">
        <f t="shared" si="13"/>
        <v>0.9375</v>
      </c>
      <c r="E630" s="59" t="s">
        <v>104</v>
      </c>
    </row>
    <row r="631" spans="1:5" x14ac:dyDescent="0.3">
      <c r="A631" s="55" t="s">
        <v>58</v>
      </c>
      <c r="B631" s="56">
        <v>92</v>
      </c>
      <c r="C631" s="56">
        <v>50</v>
      </c>
      <c r="D631" s="57">
        <f t="shared" si="13"/>
        <v>0.54347826086956519</v>
      </c>
      <c r="E631" s="59" t="s">
        <v>104</v>
      </c>
    </row>
    <row r="632" spans="1:5" x14ac:dyDescent="0.3">
      <c r="A632" s="55" t="s">
        <v>35</v>
      </c>
      <c r="B632" s="56">
        <v>1181</v>
      </c>
      <c r="C632" s="56">
        <v>1057</v>
      </c>
      <c r="D632" s="57">
        <f t="shared" si="13"/>
        <v>0.89500423370025406</v>
      </c>
      <c r="E632" s="59" t="s">
        <v>104</v>
      </c>
    </row>
    <row r="633" spans="1:5" x14ac:dyDescent="0.3">
      <c r="A633" s="55" t="s">
        <v>36</v>
      </c>
      <c r="B633" s="56">
        <v>1002</v>
      </c>
      <c r="C633" s="56">
        <v>855</v>
      </c>
      <c r="D633" s="57">
        <f t="shared" si="13"/>
        <v>0.8532934131736527</v>
      </c>
      <c r="E633" s="59" t="s">
        <v>104</v>
      </c>
    </row>
    <row r="634" spans="1:5" x14ac:dyDescent="0.3">
      <c r="A634" s="55" t="s">
        <v>64</v>
      </c>
      <c r="B634" s="56">
        <v>967</v>
      </c>
      <c r="C634" s="56">
        <v>878</v>
      </c>
      <c r="D634" s="57">
        <f t="shared" si="13"/>
        <v>0.90796277145811788</v>
      </c>
      <c r="E634" s="59" t="s">
        <v>104</v>
      </c>
    </row>
    <row r="635" spans="1:5" x14ac:dyDescent="0.3">
      <c r="A635" s="55" t="s">
        <v>59</v>
      </c>
      <c r="B635" s="56">
        <v>314</v>
      </c>
      <c r="C635" s="56">
        <v>225</v>
      </c>
      <c r="D635" s="57">
        <f t="shared" si="13"/>
        <v>0.71656050955414008</v>
      </c>
      <c r="E635" s="59" t="s">
        <v>104</v>
      </c>
    </row>
    <row r="636" spans="1:5" x14ac:dyDescent="0.3">
      <c r="A636" s="55" t="s">
        <v>60</v>
      </c>
      <c r="B636" s="56">
        <v>505</v>
      </c>
      <c r="C636" s="56">
        <v>269</v>
      </c>
      <c r="D636" s="57">
        <f t="shared" si="13"/>
        <v>0.5326732673267327</v>
      </c>
      <c r="E636" s="59" t="s">
        <v>104</v>
      </c>
    </row>
    <row r="637" spans="1:5" x14ac:dyDescent="0.3">
      <c r="A637" s="55" t="s">
        <v>37</v>
      </c>
      <c r="B637" s="56">
        <v>291</v>
      </c>
      <c r="C637" s="56">
        <v>250</v>
      </c>
      <c r="D637" s="57">
        <f t="shared" si="13"/>
        <v>0.85910652920962194</v>
      </c>
      <c r="E637" s="59" t="s">
        <v>104</v>
      </c>
    </row>
    <row r="638" spans="1:5" x14ac:dyDescent="0.3">
      <c r="A638" s="55" t="s">
        <v>61</v>
      </c>
      <c r="B638" s="56">
        <v>14</v>
      </c>
      <c r="C638" s="56">
        <v>12</v>
      </c>
      <c r="D638" s="57">
        <f t="shared" si="13"/>
        <v>0.8571428571428571</v>
      </c>
      <c r="E638" s="59" t="s">
        <v>104</v>
      </c>
    </row>
    <row r="639" spans="1:5" x14ac:dyDescent="0.3">
      <c r="A639" s="55" t="s">
        <v>62</v>
      </c>
      <c r="B639" s="56">
        <v>171</v>
      </c>
      <c r="C639" s="56">
        <v>138</v>
      </c>
      <c r="D639" s="57">
        <f t="shared" si="13"/>
        <v>0.80701754385964908</v>
      </c>
      <c r="E639" s="59" t="s">
        <v>104</v>
      </c>
    </row>
    <row r="640" spans="1:5" x14ac:dyDescent="0.3">
      <c r="A640" s="55" t="s">
        <v>31</v>
      </c>
      <c r="B640" s="56">
        <v>657</v>
      </c>
      <c r="C640" s="56">
        <v>563</v>
      </c>
      <c r="D640" s="57">
        <f t="shared" si="13"/>
        <v>0.85692541856925419</v>
      </c>
      <c r="E640" s="59" t="s">
        <v>105</v>
      </c>
    </row>
    <row r="641" spans="1:5" x14ac:dyDescent="0.3">
      <c r="A641" s="55" t="s">
        <v>32</v>
      </c>
      <c r="B641" s="56">
        <v>27</v>
      </c>
      <c r="C641" s="56">
        <v>15</v>
      </c>
      <c r="D641" s="57">
        <f t="shared" si="13"/>
        <v>0.55555555555555558</v>
      </c>
      <c r="E641" s="59" t="s">
        <v>105</v>
      </c>
    </row>
    <row r="642" spans="1:5" x14ac:dyDescent="0.3">
      <c r="A642" s="55" t="s">
        <v>33</v>
      </c>
      <c r="B642" s="56">
        <v>832</v>
      </c>
      <c r="C642" s="56">
        <v>774</v>
      </c>
      <c r="D642" s="57">
        <f t="shared" si="13"/>
        <v>0.93028846153846156</v>
      </c>
      <c r="E642" s="59" t="s">
        <v>105</v>
      </c>
    </row>
    <row r="643" spans="1:5" x14ac:dyDescent="0.3">
      <c r="A643" s="55" t="s">
        <v>57</v>
      </c>
      <c r="B643" s="56">
        <v>47</v>
      </c>
      <c r="C643" s="56">
        <v>39</v>
      </c>
      <c r="D643" s="57">
        <f t="shared" si="13"/>
        <v>0.82978723404255317</v>
      </c>
      <c r="E643" s="59" t="s">
        <v>105</v>
      </c>
    </row>
    <row r="644" spans="1:5" x14ac:dyDescent="0.3">
      <c r="A644" s="55" t="s">
        <v>63</v>
      </c>
      <c r="B644" s="56">
        <v>22</v>
      </c>
      <c r="C644" s="56">
        <v>20</v>
      </c>
      <c r="D644" s="57">
        <f t="shared" si="13"/>
        <v>0.90909090909090906</v>
      </c>
      <c r="E644" s="59" t="s">
        <v>105</v>
      </c>
    </row>
    <row r="645" spans="1:5" x14ac:dyDescent="0.3">
      <c r="A645" s="55" t="s">
        <v>58</v>
      </c>
      <c r="B645" s="56">
        <v>94</v>
      </c>
      <c r="C645" s="56">
        <v>69</v>
      </c>
      <c r="D645" s="57">
        <f t="shared" si="13"/>
        <v>0.73404255319148937</v>
      </c>
      <c r="E645" s="59" t="s">
        <v>105</v>
      </c>
    </row>
    <row r="646" spans="1:5" x14ac:dyDescent="0.3">
      <c r="A646" s="55" t="s">
        <v>35</v>
      </c>
      <c r="B646" s="56">
        <v>1410</v>
      </c>
      <c r="C646" s="56">
        <v>1192</v>
      </c>
      <c r="D646" s="57">
        <f t="shared" si="13"/>
        <v>0.84539007092198581</v>
      </c>
      <c r="E646" s="59" t="s">
        <v>105</v>
      </c>
    </row>
    <row r="647" spans="1:5" x14ac:dyDescent="0.3">
      <c r="A647" s="55" t="s">
        <v>36</v>
      </c>
      <c r="B647" s="56">
        <v>1071</v>
      </c>
      <c r="C647" s="56">
        <v>914</v>
      </c>
      <c r="D647" s="57">
        <f t="shared" si="13"/>
        <v>0.85340802987861808</v>
      </c>
      <c r="E647" s="59" t="s">
        <v>105</v>
      </c>
    </row>
    <row r="648" spans="1:5" x14ac:dyDescent="0.3">
      <c r="A648" s="55" t="s">
        <v>64</v>
      </c>
      <c r="B648" s="56">
        <v>944</v>
      </c>
      <c r="C648" s="56">
        <v>883</v>
      </c>
      <c r="D648" s="57">
        <f t="shared" si="13"/>
        <v>0.9353813559322034</v>
      </c>
      <c r="E648" s="59" t="s">
        <v>105</v>
      </c>
    </row>
    <row r="649" spans="1:5" x14ac:dyDescent="0.3">
      <c r="A649" s="55" t="s">
        <v>59</v>
      </c>
      <c r="B649" s="56">
        <v>369</v>
      </c>
      <c r="C649" s="56">
        <v>269</v>
      </c>
      <c r="D649" s="57">
        <f t="shared" si="13"/>
        <v>0.7289972899728997</v>
      </c>
      <c r="E649" s="59" t="s">
        <v>105</v>
      </c>
    </row>
    <row r="650" spans="1:5" x14ac:dyDescent="0.3">
      <c r="A650" s="55" t="s">
        <v>60</v>
      </c>
      <c r="B650" s="56">
        <v>513</v>
      </c>
      <c r="C650" s="56">
        <v>331</v>
      </c>
      <c r="D650" s="57">
        <f t="shared" si="13"/>
        <v>0.64522417153996103</v>
      </c>
      <c r="E650" s="59" t="s">
        <v>105</v>
      </c>
    </row>
    <row r="651" spans="1:5" x14ac:dyDescent="0.3">
      <c r="A651" s="55" t="s">
        <v>37</v>
      </c>
      <c r="B651" s="56">
        <v>323</v>
      </c>
      <c r="C651" s="56">
        <v>292</v>
      </c>
      <c r="D651" s="57">
        <f t="shared" si="13"/>
        <v>0.90402476780185759</v>
      </c>
      <c r="E651" s="59" t="s">
        <v>105</v>
      </c>
    </row>
    <row r="652" spans="1:5" x14ac:dyDescent="0.3">
      <c r="A652" s="55" t="s">
        <v>61</v>
      </c>
      <c r="B652" s="56">
        <v>26</v>
      </c>
      <c r="C652" s="56">
        <v>24</v>
      </c>
      <c r="D652" s="57">
        <f t="shared" si="13"/>
        <v>0.92307692307692313</v>
      </c>
      <c r="E652" s="59" t="s">
        <v>105</v>
      </c>
    </row>
    <row r="653" spans="1:5" x14ac:dyDescent="0.3">
      <c r="A653" s="55" t="s">
        <v>62</v>
      </c>
      <c r="B653" s="56">
        <v>285</v>
      </c>
      <c r="C653" s="56">
        <v>208</v>
      </c>
      <c r="D653" s="57">
        <f t="shared" si="13"/>
        <v>0.72982456140350882</v>
      </c>
      <c r="E653" s="59" t="s">
        <v>105</v>
      </c>
    </row>
    <row r="654" spans="1:5" x14ac:dyDescent="0.3">
      <c r="A654" s="38" t="s">
        <v>30</v>
      </c>
      <c r="B654" s="58">
        <v>5976</v>
      </c>
      <c r="C654" s="58">
        <v>5045</v>
      </c>
      <c r="D654" s="57">
        <f t="shared" si="13"/>
        <v>0.84421017402945109</v>
      </c>
      <c r="E654" s="59" t="s">
        <v>107</v>
      </c>
    </row>
    <row r="655" spans="1:5" x14ac:dyDescent="0.3">
      <c r="A655" s="13" t="s">
        <v>31</v>
      </c>
      <c r="B655" s="13">
        <v>410</v>
      </c>
      <c r="C655" s="13">
        <v>349</v>
      </c>
      <c r="D655" s="57">
        <f t="shared" si="13"/>
        <v>0.85121951219512193</v>
      </c>
      <c r="E655" s="59" t="s">
        <v>107</v>
      </c>
    </row>
    <row r="656" spans="1:5" x14ac:dyDescent="0.3">
      <c r="A656" s="13" t="s">
        <v>32</v>
      </c>
      <c r="B656" s="13">
        <v>25</v>
      </c>
      <c r="C656" s="13">
        <v>12</v>
      </c>
      <c r="D656" s="57">
        <f t="shared" si="13"/>
        <v>0.48</v>
      </c>
      <c r="E656" s="59" t="s">
        <v>107</v>
      </c>
    </row>
    <row r="657" spans="1:5" x14ac:dyDescent="0.3">
      <c r="A657" s="13" t="s">
        <v>33</v>
      </c>
      <c r="B657" s="13">
        <v>746</v>
      </c>
      <c r="C657" s="13">
        <v>683</v>
      </c>
      <c r="D657" s="57">
        <f t="shared" si="13"/>
        <v>0.91554959785522794</v>
      </c>
      <c r="E657" s="59" t="s">
        <v>107</v>
      </c>
    </row>
    <row r="658" spans="1:5" x14ac:dyDescent="0.3">
      <c r="A658" s="13" t="s">
        <v>57</v>
      </c>
      <c r="B658" s="13">
        <v>76</v>
      </c>
      <c r="C658" s="13">
        <v>68</v>
      </c>
      <c r="D658" s="57">
        <f t="shared" si="13"/>
        <v>0.89473684210526316</v>
      </c>
      <c r="E658" s="59" t="s">
        <v>107</v>
      </c>
    </row>
    <row r="659" spans="1:5" x14ac:dyDescent="0.3">
      <c r="A659" s="13" t="s">
        <v>58</v>
      </c>
      <c r="B659" s="13">
        <v>104</v>
      </c>
      <c r="C659" s="13">
        <v>62</v>
      </c>
      <c r="D659" s="57">
        <f t="shared" si="13"/>
        <v>0.59615384615384615</v>
      </c>
      <c r="E659" s="59" t="s">
        <v>107</v>
      </c>
    </row>
    <row r="660" spans="1:5" x14ac:dyDescent="0.3">
      <c r="A660" s="13" t="s">
        <v>35</v>
      </c>
      <c r="B660" s="58">
        <v>1300</v>
      </c>
      <c r="C660" s="58">
        <v>1086</v>
      </c>
      <c r="D660" s="57">
        <f t="shared" si="13"/>
        <v>0.83538461538461539</v>
      </c>
      <c r="E660" s="59" t="s">
        <v>107</v>
      </c>
    </row>
    <row r="661" spans="1:5" x14ac:dyDescent="0.3">
      <c r="A661" s="13" t="s">
        <v>36</v>
      </c>
      <c r="B661" s="13">
        <v>905</v>
      </c>
      <c r="C661" s="13">
        <v>781</v>
      </c>
      <c r="D661" s="57">
        <f t="shared" si="13"/>
        <v>0.86298342541436468</v>
      </c>
      <c r="E661" s="59" t="s">
        <v>107</v>
      </c>
    </row>
    <row r="662" spans="1:5" x14ac:dyDescent="0.3">
      <c r="A662" s="13" t="s">
        <v>64</v>
      </c>
      <c r="B662" s="58">
        <v>1181</v>
      </c>
      <c r="C662" s="58">
        <v>1082</v>
      </c>
      <c r="D662" s="57">
        <f t="shared" si="13"/>
        <v>0.91617273497036411</v>
      </c>
      <c r="E662" s="59" t="s">
        <v>107</v>
      </c>
    </row>
    <row r="663" spans="1:5" x14ac:dyDescent="0.3">
      <c r="A663" s="13" t="s">
        <v>59</v>
      </c>
      <c r="B663" s="13">
        <v>278</v>
      </c>
      <c r="C663" s="13">
        <v>214</v>
      </c>
      <c r="D663" s="57">
        <f t="shared" si="13"/>
        <v>0.76978417266187049</v>
      </c>
      <c r="E663" s="59" t="s">
        <v>107</v>
      </c>
    </row>
    <row r="664" spans="1:5" x14ac:dyDescent="0.3">
      <c r="A664" s="13" t="s">
        <v>60</v>
      </c>
      <c r="B664" s="13">
        <v>468</v>
      </c>
      <c r="C664" s="13">
        <v>288</v>
      </c>
      <c r="D664" s="57">
        <f t="shared" si="13"/>
        <v>0.61538461538461542</v>
      </c>
      <c r="E664" s="59" t="s">
        <v>107</v>
      </c>
    </row>
    <row r="665" spans="1:5" x14ac:dyDescent="0.3">
      <c r="A665" s="13" t="s">
        <v>37</v>
      </c>
      <c r="B665" s="13">
        <v>298</v>
      </c>
      <c r="C665" s="13">
        <v>272</v>
      </c>
      <c r="D665" s="57">
        <f t="shared" si="13"/>
        <v>0.91275167785234901</v>
      </c>
      <c r="E665" s="59" t="s">
        <v>107</v>
      </c>
    </row>
    <row r="666" spans="1:5" x14ac:dyDescent="0.3">
      <c r="A666" s="13" t="s">
        <v>61</v>
      </c>
      <c r="B666" s="13">
        <v>37</v>
      </c>
      <c r="C666" s="13">
        <v>34</v>
      </c>
      <c r="D666" s="57">
        <f t="shared" si="13"/>
        <v>0.91891891891891897</v>
      </c>
      <c r="E666" s="59" t="s">
        <v>107</v>
      </c>
    </row>
    <row r="667" spans="1:5" x14ac:dyDescent="0.3">
      <c r="A667" s="13" t="s">
        <v>62</v>
      </c>
      <c r="B667" s="13">
        <v>148</v>
      </c>
      <c r="C667" s="13">
        <v>114</v>
      </c>
      <c r="D667" s="57">
        <f t="shared" si="13"/>
        <v>0.77027027027027029</v>
      </c>
      <c r="E667" s="59" t="s">
        <v>107</v>
      </c>
    </row>
    <row r="668" spans="1:5" x14ac:dyDescent="0.3">
      <c r="A668" s="55" t="s">
        <v>30</v>
      </c>
      <c r="B668" s="56">
        <v>5302</v>
      </c>
      <c r="C668" s="56">
        <v>4428</v>
      </c>
      <c r="D668" s="64">
        <f t="shared" ref="D668:D731" si="14">SUM(C668/B668)</f>
        <v>0.83515654470011313</v>
      </c>
      <c r="E668" s="59" t="s">
        <v>109</v>
      </c>
    </row>
    <row r="669" spans="1:5" x14ac:dyDescent="0.3">
      <c r="A669" s="55" t="s">
        <v>31</v>
      </c>
      <c r="B669" s="56">
        <v>482</v>
      </c>
      <c r="C669" s="56">
        <v>414</v>
      </c>
      <c r="D669" s="64">
        <f t="shared" si="14"/>
        <v>0.85892116182572609</v>
      </c>
      <c r="E669" s="59" t="s">
        <v>109</v>
      </c>
    </row>
    <row r="670" spans="1:5" x14ac:dyDescent="0.3">
      <c r="A670" s="55" t="s">
        <v>32</v>
      </c>
      <c r="B670" s="56">
        <v>13</v>
      </c>
      <c r="C670" s="56">
        <v>10</v>
      </c>
      <c r="D670" s="64">
        <f t="shared" si="14"/>
        <v>0.76923076923076927</v>
      </c>
      <c r="E670" s="59" t="s">
        <v>109</v>
      </c>
    </row>
    <row r="671" spans="1:5" x14ac:dyDescent="0.3">
      <c r="A671" s="55" t="s">
        <v>108</v>
      </c>
      <c r="B671" s="56">
        <v>12</v>
      </c>
      <c r="C671" s="56">
        <v>11</v>
      </c>
      <c r="D671" s="64">
        <f t="shared" si="14"/>
        <v>0.91666666666666663</v>
      </c>
      <c r="E671" s="59" t="s">
        <v>109</v>
      </c>
    </row>
    <row r="672" spans="1:5" x14ac:dyDescent="0.3">
      <c r="A672" s="55" t="s">
        <v>33</v>
      </c>
      <c r="B672" s="56">
        <v>668</v>
      </c>
      <c r="C672" s="56">
        <v>623</v>
      </c>
      <c r="D672" s="64">
        <f t="shared" si="14"/>
        <v>0.93263473053892221</v>
      </c>
      <c r="E672" s="59" t="s">
        <v>109</v>
      </c>
    </row>
    <row r="673" spans="1:5" x14ac:dyDescent="0.3">
      <c r="A673" s="55" t="s">
        <v>57</v>
      </c>
      <c r="B673" s="56">
        <v>41</v>
      </c>
      <c r="C673" s="56">
        <v>37</v>
      </c>
      <c r="D673" s="64">
        <f t="shared" si="14"/>
        <v>0.90243902439024393</v>
      </c>
      <c r="E673" s="59" t="s">
        <v>109</v>
      </c>
    </row>
    <row r="674" spans="1:5" x14ac:dyDescent="0.3">
      <c r="A674" s="55" t="s">
        <v>58</v>
      </c>
      <c r="B674" s="56">
        <v>72</v>
      </c>
      <c r="C674" s="56">
        <v>54</v>
      </c>
      <c r="D674" s="64">
        <f t="shared" si="14"/>
        <v>0.75</v>
      </c>
      <c r="E674" s="59" t="s">
        <v>109</v>
      </c>
    </row>
    <row r="675" spans="1:5" x14ac:dyDescent="0.3">
      <c r="A675" s="55" t="s">
        <v>35</v>
      </c>
      <c r="B675" s="56">
        <v>1158</v>
      </c>
      <c r="C675" s="56">
        <v>957</v>
      </c>
      <c r="D675" s="64">
        <f t="shared" si="14"/>
        <v>0.82642487046632129</v>
      </c>
      <c r="E675" s="59" t="s">
        <v>109</v>
      </c>
    </row>
    <row r="676" spans="1:5" x14ac:dyDescent="0.3">
      <c r="A676" s="55" t="s">
        <v>36</v>
      </c>
      <c r="B676" s="56">
        <v>918</v>
      </c>
      <c r="C676" s="56">
        <v>773</v>
      </c>
      <c r="D676" s="64">
        <f t="shared" si="14"/>
        <v>0.84204793028322444</v>
      </c>
      <c r="E676" s="59" t="s">
        <v>109</v>
      </c>
    </row>
    <row r="677" spans="1:5" x14ac:dyDescent="0.3">
      <c r="A677" s="55" t="s">
        <v>64</v>
      </c>
      <c r="B677" s="56">
        <v>846</v>
      </c>
      <c r="C677" s="56">
        <v>778</v>
      </c>
      <c r="D677" s="64">
        <f t="shared" si="14"/>
        <v>0.91962174940898345</v>
      </c>
      <c r="E677" s="59" t="s">
        <v>109</v>
      </c>
    </row>
    <row r="678" spans="1:5" x14ac:dyDescent="0.3">
      <c r="A678" s="55" t="s">
        <v>69</v>
      </c>
      <c r="B678" s="56">
        <v>10</v>
      </c>
      <c r="C678" s="56">
        <v>10</v>
      </c>
      <c r="D678" s="64">
        <f t="shared" si="14"/>
        <v>1</v>
      </c>
      <c r="E678" s="59" t="s">
        <v>109</v>
      </c>
    </row>
    <row r="679" spans="1:5" x14ac:dyDescent="0.3">
      <c r="A679" s="55" t="s">
        <v>59</v>
      </c>
      <c r="B679" s="56">
        <v>285</v>
      </c>
      <c r="C679" s="56">
        <v>192</v>
      </c>
      <c r="D679" s="64">
        <f t="shared" si="14"/>
        <v>0.67368421052631577</v>
      </c>
      <c r="E679" s="59" t="s">
        <v>109</v>
      </c>
    </row>
    <row r="680" spans="1:5" x14ac:dyDescent="0.3">
      <c r="A680" s="55" t="s">
        <v>60</v>
      </c>
      <c r="B680" s="56">
        <v>394</v>
      </c>
      <c r="C680" s="56">
        <v>230</v>
      </c>
      <c r="D680" s="64">
        <f t="shared" si="14"/>
        <v>0.58375634517766495</v>
      </c>
      <c r="E680" s="59" t="s">
        <v>109</v>
      </c>
    </row>
    <row r="681" spans="1:5" x14ac:dyDescent="0.3">
      <c r="A681" s="55" t="s">
        <v>37</v>
      </c>
      <c r="B681" s="56">
        <v>224</v>
      </c>
      <c r="C681" s="56">
        <v>195</v>
      </c>
      <c r="D681" s="64">
        <f t="shared" si="14"/>
        <v>0.8705357142857143</v>
      </c>
      <c r="E681" s="59" t="s">
        <v>109</v>
      </c>
    </row>
    <row r="682" spans="1:5" x14ac:dyDescent="0.3">
      <c r="A682" s="55" t="s">
        <v>61</v>
      </c>
      <c r="B682" s="56">
        <v>4</v>
      </c>
      <c r="C682" s="56">
        <v>4</v>
      </c>
      <c r="D682" s="64">
        <f t="shared" si="14"/>
        <v>1</v>
      </c>
      <c r="E682" s="59" t="s">
        <v>109</v>
      </c>
    </row>
    <row r="683" spans="1:5" x14ac:dyDescent="0.3">
      <c r="A683" s="55" t="s">
        <v>62</v>
      </c>
      <c r="B683" s="56">
        <v>175</v>
      </c>
      <c r="C683" s="56">
        <v>140</v>
      </c>
      <c r="D683" s="64">
        <f t="shared" si="14"/>
        <v>0.8</v>
      </c>
      <c r="E683" s="59" t="s">
        <v>109</v>
      </c>
    </row>
    <row r="684" spans="1:5" x14ac:dyDescent="0.3">
      <c r="A684" s="55" t="s">
        <v>30</v>
      </c>
      <c r="B684" s="56">
        <v>3456</v>
      </c>
      <c r="C684" s="56">
        <v>2908</v>
      </c>
      <c r="D684" s="64">
        <f t="shared" si="14"/>
        <v>0.84143518518518523</v>
      </c>
      <c r="E684" s="59" t="s">
        <v>112</v>
      </c>
    </row>
    <row r="685" spans="1:5" x14ac:dyDescent="0.3">
      <c r="A685" s="55" t="s">
        <v>31</v>
      </c>
      <c r="B685" s="56">
        <v>272</v>
      </c>
      <c r="C685" s="56">
        <v>232</v>
      </c>
      <c r="D685" s="64">
        <f t="shared" si="14"/>
        <v>0.8529411764705882</v>
      </c>
      <c r="E685" s="59" t="s">
        <v>112</v>
      </c>
    </row>
    <row r="686" spans="1:5" x14ac:dyDescent="0.3">
      <c r="A686" s="55" t="s">
        <v>32</v>
      </c>
      <c r="B686" s="56">
        <v>21</v>
      </c>
      <c r="C686" s="56">
        <v>11</v>
      </c>
      <c r="D686" s="64">
        <f t="shared" si="14"/>
        <v>0.52380952380952384</v>
      </c>
      <c r="E686" s="59" t="s">
        <v>112</v>
      </c>
    </row>
    <row r="687" spans="1:5" x14ac:dyDescent="0.3">
      <c r="A687" s="55" t="s">
        <v>110</v>
      </c>
      <c r="B687" s="56">
        <v>83</v>
      </c>
      <c r="C687" s="56">
        <v>64</v>
      </c>
      <c r="D687" s="64">
        <f t="shared" si="14"/>
        <v>0.77108433734939763</v>
      </c>
      <c r="E687" s="59" t="s">
        <v>112</v>
      </c>
    </row>
    <row r="688" spans="1:5" x14ac:dyDescent="0.3">
      <c r="A688" s="55" t="s">
        <v>111</v>
      </c>
      <c r="B688" s="56">
        <v>16</v>
      </c>
      <c r="C688" s="56">
        <v>10</v>
      </c>
      <c r="D688" s="64">
        <f t="shared" si="14"/>
        <v>0.625</v>
      </c>
      <c r="E688" s="59" t="s">
        <v>112</v>
      </c>
    </row>
    <row r="689" spans="1:5" x14ac:dyDescent="0.3">
      <c r="A689" s="55" t="s">
        <v>108</v>
      </c>
      <c r="B689" s="56">
        <v>45</v>
      </c>
      <c r="C689" s="56">
        <v>38</v>
      </c>
      <c r="D689" s="64">
        <f t="shared" si="14"/>
        <v>0.84444444444444444</v>
      </c>
      <c r="E689" s="59" t="s">
        <v>112</v>
      </c>
    </row>
    <row r="690" spans="1:5" x14ac:dyDescent="0.3">
      <c r="A690" s="55" t="s">
        <v>33</v>
      </c>
      <c r="B690" s="56">
        <v>641</v>
      </c>
      <c r="C690" s="56">
        <v>597</v>
      </c>
      <c r="D690" s="64">
        <f t="shared" si="14"/>
        <v>0.93135725429017158</v>
      </c>
      <c r="E690" s="59" t="s">
        <v>112</v>
      </c>
    </row>
    <row r="691" spans="1:5" x14ac:dyDescent="0.3">
      <c r="A691" s="55" t="s">
        <v>57</v>
      </c>
      <c r="B691" s="56">
        <v>31</v>
      </c>
      <c r="C691" s="56">
        <v>28</v>
      </c>
      <c r="D691" s="64">
        <f t="shared" si="14"/>
        <v>0.90322580645161288</v>
      </c>
      <c r="E691" s="59" t="s">
        <v>112</v>
      </c>
    </row>
    <row r="692" spans="1:5" x14ac:dyDescent="0.3">
      <c r="A692" s="55" t="s">
        <v>58</v>
      </c>
      <c r="B692" s="56">
        <v>72</v>
      </c>
      <c r="C692" s="56">
        <v>45</v>
      </c>
      <c r="D692" s="64">
        <f t="shared" si="14"/>
        <v>0.625</v>
      </c>
      <c r="E692" s="59" t="s">
        <v>112</v>
      </c>
    </row>
    <row r="693" spans="1:5" x14ac:dyDescent="0.3">
      <c r="A693" s="55" t="s">
        <v>35</v>
      </c>
      <c r="B693" s="56">
        <v>897</v>
      </c>
      <c r="C693" s="56">
        <v>783</v>
      </c>
      <c r="D693" s="64">
        <f t="shared" si="14"/>
        <v>0.87290969899665549</v>
      </c>
      <c r="E693" s="59" t="s">
        <v>112</v>
      </c>
    </row>
    <row r="694" spans="1:5" x14ac:dyDescent="0.3">
      <c r="A694" s="55" t="s">
        <v>36</v>
      </c>
      <c r="B694" s="56">
        <v>698</v>
      </c>
      <c r="C694" s="56">
        <v>631</v>
      </c>
      <c r="D694" s="64">
        <f t="shared" si="14"/>
        <v>0.90401146131805155</v>
      </c>
      <c r="E694" s="59" t="s">
        <v>112</v>
      </c>
    </row>
    <row r="695" spans="1:5" x14ac:dyDescent="0.3">
      <c r="A695" s="55" t="s">
        <v>64</v>
      </c>
      <c r="B695" s="56">
        <v>13</v>
      </c>
      <c r="C695" s="56">
        <v>12</v>
      </c>
      <c r="D695" s="64">
        <f t="shared" si="14"/>
        <v>0.92307692307692313</v>
      </c>
      <c r="E695" s="59" t="s">
        <v>112</v>
      </c>
    </row>
    <row r="696" spans="1:5" x14ac:dyDescent="0.3">
      <c r="A696" s="55" t="s">
        <v>59</v>
      </c>
      <c r="B696" s="56">
        <v>37</v>
      </c>
      <c r="C696" s="56">
        <v>17</v>
      </c>
      <c r="D696" s="64">
        <f t="shared" si="14"/>
        <v>0.45945945945945948</v>
      </c>
      <c r="E696" s="59" t="s">
        <v>112</v>
      </c>
    </row>
    <row r="697" spans="1:5" x14ac:dyDescent="0.3">
      <c r="A697" s="55" t="s">
        <v>60</v>
      </c>
      <c r="B697" s="56">
        <v>303</v>
      </c>
      <c r="C697" s="56">
        <v>145</v>
      </c>
      <c r="D697" s="64">
        <f t="shared" si="14"/>
        <v>0.47854785478547857</v>
      </c>
      <c r="E697" s="59" t="s">
        <v>112</v>
      </c>
    </row>
    <row r="698" spans="1:5" x14ac:dyDescent="0.3">
      <c r="A698" s="55" t="s">
        <v>37</v>
      </c>
      <c r="B698" s="56">
        <v>319</v>
      </c>
      <c r="C698" s="56">
        <v>288</v>
      </c>
      <c r="D698" s="64">
        <f t="shared" si="14"/>
        <v>0.90282131661442011</v>
      </c>
      <c r="E698" s="59" t="s">
        <v>112</v>
      </c>
    </row>
    <row r="699" spans="1:5" x14ac:dyDescent="0.3">
      <c r="A699" s="55" t="s">
        <v>61</v>
      </c>
      <c r="B699" s="56">
        <v>8</v>
      </c>
      <c r="C699" s="56">
        <v>7</v>
      </c>
      <c r="D699" s="64">
        <f t="shared" si="14"/>
        <v>0.875</v>
      </c>
      <c r="E699" s="59" t="s">
        <v>112</v>
      </c>
    </row>
    <row r="700" spans="1:5" x14ac:dyDescent="0.3">
      <c r="A700" s="55" t="s">
        <v>30</v>
      </c>
      <c r="B700" s="56">
        <v>5952</v>
      </c>
      <c r="C700" s="56">
        <v>5117</v>
      </c>
      <c r="D700" s="64">
        <f t="shared" si="14"/>
        <v>0.85971102150537637</v>
      </c>
      <c r="E700" s="59" t="s">
        <v>113</v>
      </c>
    </row>
    <row r="701" spans="1:5" x14ac:dyDescent="0.3">
      <c r="A701" s="55" t="s">
        <v>31</v>
      </c>
      <c r="B701" s="56">
        <v>553</v>
      </c>
      <c r="C701" s="56">
        <v>486</v>
      </c>
      <c r="D701" s="64">
        <f t="shared" si="14"/>
        <v>0.87884267631103075</v>
      </c>
      <c r="E701" s="59" t="s">
        <v>113</v>
      </c>
    </row>
    <row r="702" spans="1:5" x14ac:dyDescent="0.3">
      <c r="A702" s="55" t="s">
        <v>32</v>
      </c>
      <c r="B702" s="56">
        <v>33</v>
      </c>
      <c r="C702" s="56">
        <v>19</v>
      </c>
      <c r="D702" s="64">
        <f t="shared" si="14"/>
        <v>0.5757575757575758</v>
      </c>
      <c r="E702" s="59" t="s">
        <v>113</v>
      </c>
    </row>
    <row r="703" spans="1:5" x14ac:dyDescent="0.3">
      <c r="A703" s="55" t="s">
        <v>110</v>
      </c>
      <c r="B703" s="56">
        <v>113</v>
      </c>
      <c r="C703" s="56">
        <v>84</v>
      </c>
      <c r="D703" s="64">
        <f t="shared" si="14"/>
        <v>0.74336283185840712</v>
      </c>
      <c r="E703" s="59" t="s">
        <v>113</v>
      </c>
    </row>
    <row r="704" spans="1:5" x14ac:dyDescent="0.3">
      <c r="A704" s="55" t="s">
        <v>111</v>
      </c>
      <c r="B704" s="56">
        <v>17</v>
      </c>
      <c r="C704" s="56">
        <v>12</v>
      </c>
      <c r="D704" s="64">
        <f t="shared" si="14"/>
        <v>0.70588235294117652</v>
      </c>
      <c r="E704" s="59" t="s">
        <v>113</v>
      </c>
    </row>
    <row r="705" spans="1:5" x14ac:dyDescent="0.3">
      <c r="A705" s="55" t="s">
        <v>33</v>
      </c>
      <c r="B705" s="56">
        <v>908</v>
      </c>
      <c r="C705" s="56">
        <v>854</v>
      </c>
      <c r="D705" s="64">
        <f t="shared" si="14"/>
        <v>0.94052863436123346</v>
      </c>
      <c r="E705" s="59" t="s">
        <v>113</v>
      </c>
    </row>
    <row r="706" spans="1:5" x14ac:dyDescent="0.3">
      <c r="A706" s="55" t="s">
        <v>57</v>
      </c>
      <c r="B706" s="56">
        <v>91</v>
      </c>
      <c r="C706" s="56">
        <v>83</v>
      </c>
      <c r="D706" s="64">
        <f t="shared" si="14"/>
        <v>0.91208791208791207</v>
      </c>
      <c r="E706" s="59" t="s">
        <v>113</v>
      </c>
    </row>
    <row r="707" spans="1:5" x14ac:dyDescent="0.3">
      <c r="A707" s="55" t="s">
        <v>58</v>
      </c>
      <c r="B707" s="56">
        <v>98</v>
      </c>
      <c r="C707" s="56">
        <v>60</v>
      </c>
      <c r="D707" s="64">
        <f t="shared" si="14"/>
        <v>0.61224489795918369</v>
      </c>
      <c r="E707" s="59" t="s">
        <v>113</v>
      </c>
    </row>
    <row r="708" spans="1:5" x14ac:dyDescent="0.3">
      <c r="A708" s="55" t="s">
        <v>35</v>
      </c>
      <c r="B708" s="56">
        <v>1539</v>
      </c>
      <c r="C708" s="56">
        <v>1354</v>
      </c>
      <c r="D708" s="64">
        <f t="shared" si="14"/>
        <v>0.87979207277452887</v>
      </c>
      <c r="E708" s="59" t="s">
        <v>113</v>
      </c>
    </row>
    <row r="709" spans="1:5" x14ac:dyDescent="0.3">
      <c r="A709" s="55" t="s">
        <v>36</v>
      </c>
      <c r="B709" s="56">
        <v>924</v>
      </c>
      <c r="C709" s="56">
        <v>771</v>
      </c>
      <c r="D709" s="64">
        <f t="shared" si="14"/>
        <v>0.83441558441558439</v>
      </c>
      <c r="E709" s="59" t="s">
        <v>113</v>
      </c>
    </row>
    <row r="710" spans="1:5" x14ac:dyDescent="0.3">
      <c r="A710" s="55" t="s">
        <v>64</v>
      </c>
      <c r="B710" s="56">
        <v>857</v>
      </c>
      <c r="C710" s="56">
        <v>779</v>
      </c>
      <c r="D710" s="64">
        <f t="shared" si="14"/>
        <v>0.90898483080513415</v>
      </c>
      <c r="E710" s="59" t="s">
        <v>113</v>
      </c>
    </row>
    <row r="711" spans="1:5" x14ac:dyDescent="0.3">
      <c r="A711" s="55" t="s">
        <v>60</v>
      </c>
      <c r="B711" s="56">
        <v>385</v>
      </c>
      <c r="C711" s="56">
        <v>219</v>
      </c>
      <c r="D711" s="64">
        <f t="shared" si="14"/>
        <v>0.5688311688311688</v>
      </c>
      <c r="E711" s="59" t="s">
        <v>113</v>
      </c>
    </row>
    <row r="712" spans="1:5" x14ac:dyDescent="0.3">
      <c r="A712" s="55" t="s">
        <v>37</v>
      </c>
      <c r="B712" s="56">
        <v>397</v>
      </c>
      <c r="C712" s="56">
        <v>367</v>
      </c>
      <c r="D712" s="64">
        <f t="shared" si="14"/>
        <v>0.92443324937027704</v>
      </c>
      <c r="E712" s="59" t="s">
        <v>113</v>
      </c>
    </row>
    <row r="713" spans="1:5" x14ac:dyDescent="0.3">
      <c r="A713" s="55" t="s">
        <v>61</v>
      </c>
      <c r="B713" s="56">
        <v>37</v>
      </c>
      <c r="C713" s="56">
        <v>29</v>
      </c>
      <c r="D713" s="64">
        <f t="shared" si="14"/>
        <v>0.78378378378378377</v>
      </c>
      <c r="E713" s="59" t="s">
        <v>113</v>
      </c>
    </row>
    <row r="714" spans="1:5" x14ac:dyDescent="0.3">
      <c r="A714" s="55" t="s">
        <v>31</v>
      </c>
      <c r="B714" s="56">
        <v>588</v>
      </c>
      <c r="C714" s="56">
        <v>508</v>
      </c>
      <c r="D714" s="64">
        <f t="shared" si="14"/>
        <v>0.86394557823129248</v>
      </c>
      <c r="E714" s="59" t="s">
        <v>114</v>
      </c>
    </row>
    <row r="715" spans="1:5" x14ac:dyDescent="0.3">
      <c r="A715" s="55" t="s">
        <v>32</v>
      </c>
      <c r="B715" s="56">
        <v>26</v>
      </c>
      <c r="C715" s="56">
        <v>17</v>
      </c>
      <c r="D715" s="64">
        <f t="shared" si="14"/>
        <v>0.65384615384615385</v>
      </c>
      <c r="E715" s="59" t="s">
        <v>114</v>
      </c>
    </row>
    <row r="716" spans="1:5" x14ac:dyDescent="0.3">
      <c r="A716" s="55" t="s">
        <v>110</v>
      </c>
      <c r="B716" s="56">
        <v>58</v>
      </c>
      <c r="C716" s="56">
        <v>50</v>
      </c>
      <c r="D716" s="64">
        <f t="shared" si="14"/>
        <v>0.86206896551724133</v>
      </c>
      <c r="E716" s="59" t="s">
        <v>114</v>
      </c>
    </row>
    <row r="717" spans="1:5" x14ac:dyDescent="0.3">
      <c r="A717" s="55" t="s">
        <v>33</v>
      </c>
      <c r="B717" s="56">
        <v>675</v>
      </c>
      <c r="C717" s="56">
        <v>642</v>
      </c>
      <c r="D717" s="64">
        <f t="shared" si="14"/>
        <v>0.95111111111111113</v>
      </c>
      <c r="E717" s="59" t="s">
        <v>114</v>
      </c>
    </row>
    <row r="718" spans="1:5" x14ac:dyDescent="0.3">
      <c r="A718" s="55" t="s">
        <v>57</v>
      </c>
      <c r="B718" s="56">
        <v>46</v>
      </c>
      <c r="C718" s="56">
        <v>36</v>
      </c>
      <c r="D718" s="64">
        <f t="shared" si="14"/>
        <v>0.78260869565217395</v>
      </c>
      <c r="E718" s="59" t="s">
        <v>114</v>
      </c>
    </row>
    <row r="719" spans="1:5" x14ac:dyDescent="0.3">
      <c r="A719" s="55" t="s">
        <v>58</v>
      </c>
      <c r="B719" s="56">
        <v>76</v>
      </c>
      <c r="C719" s="56">
        <v>45</v>
      </c>
      <c r="D719" s="64">
        <f t="shared" si="14"/>
        <v>0.59210526315789469</v>
      </c>
      <c r="E719" s="59" t="s">
        <v>114</v>
      </c>
    </row>
    <row r="720" spans="1:5" x14ac:dyDescent="0.3">
      <c r="A720" s="55" t="s">
        <v>35</v>
      </c>
      <c r="B720" s="56">
        <v>1231</v>
      </c>
      <c r="C720" s="56">
        <v>1050</v>
      </c>
      <c r="D720" s="64">
        <f t="shared" si="14"/>
        <v>0.85296506904955316</v>
      </c>
      <c r="E720" s="59" t="s">
        <v>114</v>
      </c>
    </row>
    <row r="721" spans="1:5" x14ac:dyDescent="0.3">
      <c r="A721" s="55" t="s">
        <v>36</v>
      </c>
      <c r="B721" s="56">
        <v>836</v>
      </c>
      <c r="C721" s="56">
        <v>725</v>
      </c>
      <c r="D721" s="64">
        <f t="shared" si="14"/>
        <v>0.86722488038277512</v>
      </c>
      <c r="E721" s="59" t="s">
        <v>114</v>
      </c>
    </row>
    <row r="722" spans="1:5" x14ac:dyDescent="0.3">
      <c r="A722" s="55" t="s">
        <v>64</v>
      </c>
      <c r="B722" s="56">
        <v>1059</v>
      </c>
      <c r="C722" s="56">
        <v>961</v>
      </c>
      <c r="D722" s="64">
        <f t="shared" si="14"/>
        <v>0.90745986779981114</v>
      </c>
      <c r="E722" s="59" t="s">
        <v>114</v>
      </c>
    </row>
    <row r="723" spans="1:5" x14ac:dyDescent="0.3">
      <c r="A723" s="55" t="s">
        <v>60</v>
      </c>
      <c r="B723" s="56">
        <v>295</v>
      </c>
      <c r="C723" s="56">
        <v>151</v>
      </c>
      <c r="D723" s="64">
        <f t="shared" si="14"/>
        <v>0.51186440677966105</v>
      </c>
      <c r="E723" s="59" t="s">
        <v>114</v>
      </c>
    </row>
    <row r="724" spans="1:5" x14ac:dyDescent="0.3">
      <c r="A724" s="55" t="s">
        <v>37</v>
      </c>
      <c r="B724" s="56">
        <v>622</v>
      </c>
      <c r="C724" s="56">
        <v>549</v>
      </c>
      <c r="D724" s="64">
        <f t="shared" si="14"/>
        <v>0.88263665594855301</v>
      </c>
      <c r="E724" s="59" t="s">
        <v>114</v>
      </c>
    </row>
    <row r="725" spans="1:5" x14ac:dyDescent="0.3">
      <c r="A725" s="55" t="s">
        <v>61</v>
      </c>
      <c r="B725" s="56">
        <v>79</v>
      </c>
      <c r="C725" s="56">
        <v>76</v>
      </c>
      <c r="D725" s="64">
        <f t="shared" si="14"/>
        <v>0.96202531645569622</v>
      </c>
      <c r="E725" s="59" t="s">
        <v>114</v>
      </c>
    </row>
    <row r="726" spans="1:5" x14ac:dyDescent="0.3">
      <c r="A726" s="55" t="s">
        <v>31</v>
      </c>
      <c r="B726" s="56">
        <v>407</v>
      </c>
      <c r="C726" s="56">
        <v>355</v>
      </c>
      <c r="D726" s="64">
        <f t="shared" si="14"/>
        <v>0.87223587223587229</v>
      </c>
      <c r="E726" s="59" t="s">
        <v>115</v>
      </c>
    </row>
    <row r="727" spans="1:5" x14ac:dyDescent="0.3">
      <c r="A727" s="55" t="s">
        <v>32</v>
      </c>
      <c r="B727" s="56">
        <v>18</v>
      </c>
      <c r="C727" s="56">
        <v>10</v>
      </c>
      <c r="D727" s="64">
        <f t="shared" si="14"/>
        <v>0.55555555555555558</v>
      </c>
      <c r="E727" s="59" t="s">
        <v>115</v>
      </c>
    </row>
    <row r="728" spans="1:5" x14ac:dyDescent="0.3">
      <c r="A728" s="55" t="s">
        <v>110</v>
      </c>
      <c r="B728" s="56">
        <v>155</v>
      </c>
      <c r="C728" s="56">
        <v>127</v>
      </c>
      <c r="D728" s="64">
        <f t="shared" si="14"/>
        <v>0.8193548387096774</v>
      </c>
      <c r="E728" s="59" t="s">
        <v>115</v>
      </c>
    </row>
    <row r="729" spans="1:5" x14ac:dyDescent="0.3">
      <c r="A729" s="55" t="s">
        <v>33</v>
      </c>
      <c r="B729" s="56">
        <v>826</v>
      </c>
      <c r="C729" s="56">
        <v>770</v>
      </c>
      <c r="D729" s="64">
        <f t="shared" si="14"/>
        <v>0.93220338983050843</v>
      </c>
      <c r="E729" s="59" t="s">
        <v>115</v>
      </c>
    </row>
    <row r="730" spans="1:5" x14ac:dyDescent="0.3">
      <c r="A730" s="55" t="s">
        <v>57</v>
      </c>
      <c r="B730" s="56">
        <v>22</v>
      </c>
      <c r="C730" s="56">
        <v>17</v>
      </c>
      <c r="D730" s="64">
        <f t="shared" si="14"/>
        <v>0.77272727272727271</v>
      </c>
      <c r="E730" s="59" t="s">
        <v>115</v>
      </c>
    </row>
    <row r="731" spans="1:5" x14ac:dyDescent="0.3">
      <c r="A731" s="55" t="s">
        <v>58</v>
      </c>
      <c r="B731" s="56">
        <v>107</v>
      </c>
      <c r="C731" s="56">
        <v>70</v>
      </c>
      <c r="D731" s="64">
        <f t="shared" si="14"/>
        <v>0.65420560747663548</v>
      </c>
      <c r="E731" s="59" t="s">
        <v>115</v>
      </c>
    </row>
    <row r="732" spans="1:5" x14ac:dyDescent="0.3">
      <c r="A732" s="55" t="s">
        <v>35</v>
      </c>
      <c r="B732" s="56">
        <v>1108</v>
      </c>
      <c r="C732" s="56">
        <v>949</v>
      </c>
      <c r="D732" s="64">
        <f t="shared" ref="D732:D737" si="15">SUM(C732/B732)</f>
        <v>0.85649819494584833</v>
      </c>
      <c r="E732" s="59" t="s">
        <v>115</v>
      </c>
    </row>
    <row r="733" spans="1:5" x14ac:dyDescent="0.3">
      <c r="A733" s="55" t="s">
        <v>36</v>
      </c>
      <c r="B733" s="56">
        <v>831</v>
      </c>
      <c r="C733" s="56">
        <v>697</v>
      </c>
      <c r="D733" s="64">
        <f t="shared" si="15"/>
        <v>0.83874849578820698</v>
      </c>
      <c r="E733" s="59" t="s">
        <v>115</v>
      </c>
    </row>
    <row r="734" spans="1:5" x14ac:dyDescent="0.3">
      <c r="A734" s="55" t="s">
        <v>64</v>
      </c>
      <c r="B734" s="56">
        <v>920</v>
      </c>
      <c r="C734" s="56">
        <v>813</v>
      </c>
      <c r="D734" s="64">
        <f t="shared" si="15"/>
        <v>0.88369565217391299</v>
      </c>
      <c r="E734" s="59" t="s">
        <v>115</v>
      </c>
    </row>
    <row r="735" spans="1:5" x14ac:dyDescent="0.3">
      <c r="A735" s="55" t="s">
        <v>60</v>
      </c>
      <c r="B735" s="56">
        <v>326</v>
      </c>
      <c r="C735" s="56">
        <v>179</v>
      </c>
      <c r="D735" s="64">
        <f t="shared" si="15"/>
        <v>0.54907975460122704</v>
      </c>
      <c r="E735" s="59" t="s">
        <v>115</v>
      </c>
    </row>
    <row r="736" spans="1:5" x14ac:dyDescent="0.3">
      <c r="A736" s="55" t="s">
        <v>37</v>
      </c>
      <c r="B736" s="56">
        <v>583</v>
      </c>
      <c r="C736" s="56">
        <v>525</v>
      </c>
      <c r="D736" s="64">
        <f t="shared" si="15"/>
        <v>0.90051457975986282</v>
      </c>
      <c r="E736" s="59" t="s">
        <v>115</v>
      </c>
    </row>
    <row r="737" spans="1:5" x14ac:dyDescent="0.3">
      <c r="A737" s="55" t="s">
        <v>61</v>
      </c>
      <c r="B737" s="56">
        <v>60</v>
      </c>
      <c r="C737" s="56">
        <v>60</v>
      </c>
      <c r="D737" s="64">
        <f t="shared" si="15"/>
        <v>1</v>
      </c>
      <c r="E737" s="59" t="s">
        <v>115</v>
      </c>
    </row>
  </sheetData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E17"/>
  <sheetViews>
    <sheetView workbookViewId="0">
      <selection activeCell="D18" sqref="D18"/>
    </sheetView>
  </sheetViews>
  <sheetFormatPr defaultRowHeight="14.4" x14ac:dyDescent="0.3"/>
  <cols>
    <col min="1" max="1" width="20.88671875" bestFit="1" customWidth="1"/>
    <col min="3" max="3" width="10.109375" bestFit="1" customWidth="1"/>
  </cols>
  <sheetData>
    <row r="1" spans="1:5" ht="29.4" thickBot="1" x14ac:dyDescent="0.35">
      <c r="A1" s="2" t="s">
        <v>24</v>
      </c>
      <c r="B1" s="3" t="s">
        <v>7</v>
      </c>
      <c r="C1" s="3" t="s">
        <v>19</v>
      </c>
      <c r="D1" s="4" t="s">
        <v>21</v>
      </c>
      <c r="E1" s="5" t="s">
        <v>11</v>
      </c>
    </row>
    <row r="2" spans="1:5" ht="15" thickTop="1" x14ac:dyDescent="0.3">
      <c r="A2" s="6" t="s">
        <v>22</v>
      </c>
      <c r="B2" s="7">
        <v>5</v>
      </c>
      <c r="C2" s="7">
        <v>3</v>
      </c>
      <c r="D2" s="8">
        <v>0.6</v>
      </c>
      <c r="E2" s="9" t="s">
        <v>17</v>
      </c>
    </row>
    <row r="3" spans="1:5" x14ac:dyDescent="0.3">
      <c r="A3" s="10" t="s">
        <v>23</v>
      </c>
      <c r="B3" s="11">
        <v>5</v>
      </c>
      <c r="C3" s="11">
        <v>2</v>
      </c>
      <c r="D3" s="12">
        <v>0.4</v>
      </c>
      <c r="E3" s="9" t="s">
        <v>17</v>
      </c>
    </row>
    <row r="4" spans="1:5" x14ac:dyDescent="0.3">
      <c r="A4" s="6" t="s">
        <v>22</v>
      </c>
      <c r="B4" s="7">
        <v>6</v>
      </c>
      <c r="C4" s="7">
        <v>4</v>
      </c>
      <c r="D4" s="8">
        <v>0.67</v>
      </c>
      <c r="E4" s="9" t="s">
        <v>15</v>
      </c>
    </row>
    <row r="5" spans="1:5" x14ac:dyDescent="0.3">
      <c r="A5" s="10" t="s">
        <v>23</v>
      </c>
      <c r="B5" s="11">
        <v>6</v>
      </c>
      <c r="C5" s="11">
        <v>3</v>
      </c>
      <c r="D5" s="12">
        <v>0.5</v>
      </c>
      <c r="E5" s="9" t="s">
        <v>15</v>
      </c>
    </row>
    <row r="6" spans="1:5" x14ac:dyDescent="0.3">
      <c r="A6" s="6" t="s">
        <v>22</v>
      </c>
      <c r="B6" s="7">
        <v>4</v>
      </c>
      <c r="C6" s="7">
        <v>2</v>
      </c>
      <c r="D6" s="8">
        <v>0.5</v>
      </c>
      <c r="E6" s="9" t="s">
        <v>42</v>
      </c>
    </row>
    <row r="7" spans="1:5" x14ac:dyDescent="0.3">
      <c r="A7" s="10" t="s">
        <v>23</v>
      </c>
      <c r="B7" s="11">
        <v>4</v>
      </c>
      <c r="C7" s="11">
        <v>0</v>
      </c>
      <c r="D7" s="12">
        <v>0</v>
      </c>
      <c r="E7" s="9" t="s">
        <v>42</v>
      </c>
    </row>
    <row r="8" spans="1:5" x14ac:dyDescent="0.3">
      <c r="A8" s="6" t="s">
        <v>22</v>
      </c>
      <c r="B8" s="7">
        <v>8</v>
      </c>
      <c r="C8" s="7">
        <v>5</v>
      </c>
      <c r="D8" s="8">
        <v>0.63</v>
      </c>
      <c r="E8" s="9" t="s">
        <v>44</v>
      </c>
    </row>
    <row r="9" spans="1:5" x14ac:dyDescent="0.3">
      <c r="A9" s="10" t="s">
        <v>23</v>
      </c>
      <c r="B9" s="11">
        <v>8</v>
      </c>
      <c r="C9" s="11">
        <v>2</v>
      </c>
      <c r="D9" s="12">
        <v>0.25</v>
      </c>
      <c r="E9" s="9" t="s">
        <v>44</v>
      </c>
    </row>
    <row r="10" spans="1:5" x14ac:dyDescent="0.3">
      <c r="A10" s="6" t="s">
        <v>22</v>
      </c>
      <c r="B10" s="7">
        <v>16</v>
      </c>
      <c r="C10" s="7">
        <v>10</v>
      </c>
      <c r="D10" s="8">
        <v>0.63</v>
      </c>
      <c r="E10" s="9" t="s">
        <v>46</v>
      </c>
    </row>
    <row r="11" spans="1:5" x14ac:dyDescent="0.3">
      <c r="A11" s="10" t="s">
        <v>23</v>
      </c>
      <c r="B11" s="11">
        <v>16</v>
      </c>
      <c r="C11" s="11">
        <v>6</v>
      </c>
      <c r="D11" s="12">
        <v>0.38</v>
      </c>
      <c r="E11" s="9" t="s">
        <v>46</v>
      </c>
    </row>
    <row r="12" spans="1:5" x14ac:dyDescent="0.3">
      <c r="A12" s="6" t="s">
        <v>22</v>
      </c>
      <c r="B12" s="7">
        <v>12</v>
      </c>
      <c r="C12" s="7">
        <v>8</v>
      </c>
      <c r="D12" s="8">
        <v>0.67</v>
      </c>
      <c r="E12" s="9" t="s">
        <v>50</v>
      </c>
    </row>
    <row r="13" spans="1:5" x14ac:dyDescent="0.3">
      <c r="A13" s="10" t="s">
        <v>23</v>
      </c>
      <c r="B13" s="11">
        <v>12</v>
      </c>
      <c r="C13" s="11">
        <v>4</v>
      </c>
      <c r="D13" s="12">
        <v>0.33</v>
      </c>
      <c r="E13" s="9" t="s">
        <v>50</v>
      </c>
    </row>
    <row r="14" spans="1:5" x14ac:dyDescent="0.3">
      <c r="A14" s="6" t="s">
        <v>22</v>
      </c>
      <c r="B14" s="7">
        <v>10</v>
      </c>
      <c r="C14" s="7">
        <v>8</v>
      </c>
      <c r="D14" s="8">
        <v>0.8</v>
      </c>
      <c r="E14" s="9" t="s">
        <v>52</v>
      </c>
    </row>
    <row r="15" spans="1:5" x14ac:dyDescent="0.3">
      <c r="A15" s="10" t="s">
        <v>23</v>
      </c>
      <c r="B15" s="11">
        <v>10</v>
      </c>
      <c r="C15" s="11">
        <v>3</v>
      </c>
      <c r="D15" s="12">
        <v>0.3</v>
      </c>
      <c r="E15" s="9" t="s">
        <v>52</v>
      </c>
    </row>
    <row r="16" spans="1:5" x14ac:dyDescent="0.3">
      <c r="A16" s="6" t="s">
        <v>22</v>
      </c>
      <c r="B16" s="7">
        <v>15</v>
      </c>
      <c r="C16" s="7">
        <v>9</v>
      </c>
      <c r="D16" s="8">
        <v>0.6</v>
      </c>
      <c r="E16" s="9" t="s">
        <v>54</v>
      </c>
    </row>
    <row r="17" spans="1:5" x14ac:dyDescent="0.3">
      <c r="A17" s="10" t="s">
        <v>23</v>
      </c>
      <c r="B17" s="11">
        <v>15</v>
      </c>
      <c r="C17" s="11">
        <v>7</v>
      </c>
      <c r="D17" s="12">
        <v>0.47</v>
      </c>
      <c r="E17" s="9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57"/>
  <sheetViews>
    <sheetView topLeftCell="A31" workbookViewId="0">
      <selection activeCell="A59" sqref="A59"/>
    </sheetView>
  </sheetViews>
  <sheetFormatPr defaultRowHeight="14.4" x14ac:dyDescent="0.3"/>
  <cols>
    <col min="1" max="1" width="26.5546875" bestFit="1" customWidth="1"/>
    <col min="2" max="2" width="10.109375" bestFit="1" customWidth="1"/>
    <col min="4" max="4" width="16" style="1" bestFit="1" customWidth="1"/>
  </cols>
  <sheetData>
    <row r="1" spans="1:5" x14ac:dyDescent="0.3">
      <c r="A1" t="s">
        <v>28</v>
      </c>
      <c r="B1" t="s">
        <v>19</v>
      </c>
      <c r="C1" t="s">
        <v>7</v>
      </c>
      <c r="D1" s="1" t="s">
        <v>29</v>
      </c>
      <c r="E1" t="s">
        <v>11</v>
      </c>
    </row>
    <row r="2" spans="1:5" x14ac:dyDescent="0.3">
      <c r="A2" t="s">
        <v>0</v>
      </c>
      <c r="B2">
        <v>3</v>
      </c>
      <c r="C2">
        <v>3</v>
      </c>
      <c r="D2" s="1">
        <f t="shared" ref="D2:D15" si="0">SUM(B2/C2)</f>
        <v>1</v>
      </c>
      <c r="E2" t="s">
        <v>26</v>
      </c>
    </row>
    <row r="3" spans="1:5" x14ac:dyDescent="0.3">
      <c r="A3" t="s">
        <v>1</v>
      </c>
      <c r="B3">
        <v>129</v>
      </c>
      <c r="C3">
        <v>136</v>
      </c>
      <c r="D3" s="1">
        <f t="shared" si="0"/>
        <v>0.94852941176470584</v>
      </c>
      <c r="E3" t="s">
        <v>26</v>
      </c>
    </row>
    <row r="4" spans="1:5" x14ac:dyDescent="0.3">
      <c r="A4" t="s">
        <v>2</v>
      </c>
      <c r="B4">
        <v>59</v>
      </c>
      <c r="C4">
        <v>68</v>
      </c>
      <c r="D4" s="1">
        <f t="shared" si="0"/>
        <v>0.86764705882352944</v>
      </c>
      <c r="E4" t="s">
        <v>26</v>
      </c>
    </row>
    <row r="5" spans="1:5" x14ac:dyDescent="0.3">
      <c r="A5" t="s">
        <v>3</v>
      </c>
      <c r="B5">
        <v>98</v>
      </c>
      <c r="C5">
        <v>110</v>
      </c>
      <c r="D5" s="1">
        <f t="shared" si="0"/>
        <v>0.89090909090909087</v>
      </c>
      <c r="E5" t="s">
        <v>26</v>
      </c>
    </row>
    <row r="6" spans="1:5" x14ac:dyDescent="0.3">
      <c r="A6" t="s">
        <v>9</v>
      </c>
      <c r="B6">
        <v>18</v>
      </c>
      <c r="C6">
        <v>20</v>
      </c>
      <c r="D6" s="1">
        <f t="shared" si="0"/>
        <v>0.9</v>
      </c>
      <c r="E6" t="s">
        <v>26</v>
      </c>
    </row>
    <row r="7" spans="1:5" x14ac:dyDescent="0.3">
      <c r="A7" t="s">
        <v>4</v>
      </c>
      <c r="B7">
        <v>29</v>
      </c>
      <c r="C7">
        <v>36</v>
      </c>
      <c r="D7" s="1">
        <f t="shared" si="0"/>
        <v>0.80555555555555558</v>
      </c>
      <c r="E7" t="s">
        <v>26</v>
      </c>
    </row>
    <row r="8" spans="1:5" x14ac:dyDescent="0.3">
      <c r="A8" t="s">
        <v>5</v>
      </c>
      <c r="B8">
        <v>38</v>
      </c>
      <c r="C8">
        <v>44</v>
      </c>
      <c r="D8" s="1">
        <f t="shared" si="0"/>
        <v>0.86363636363636365</v>
      </c>
      <c r="E8" t="s">
        <v>26</v>
      </c>
    </row>
    <row r="9" spans="1:5" x14ac:dyDescent="0.3">
      <c r="A9" s="13" t="s">
        <v>0</v>
      </c>
      <c r="B9" s="13">
        <v>0</v>
      </c>
      <c r="C9" s="13">
        <v>1</v>
      </c>
      <c r="D9" s="38">
        <f t="shared" si="0"/>
        <v>0</v>
      </c>
      <c r="E9" s="13" t="s">
        <v>18</v>
      </c>
    </row>
    <row r="10" spans="1:5" x14ac:dyDescent="0.3">
      <c r="A10" s="13" t="s">
        <v>1</v>
      </c>
      <c r="B10" s="13">
        <v>119</v>
      </c>
      <c r="C10" s="13">
        <v>132</v>
      </c>
      <c r="D10" s="38">
        <f t="shared" si="0"/>
        <v>0.90151515151515149</v>
      </c>
      <c r="E10" s="13" t="s">
        <v>18</v>
      </c>
    </row>
    <row r="11" spans="1:5" x14ac:dyDescent="0.3">
      <c r="A11" s="13" t="s">
        <v>2</v>
      </c>
      <c r="B11" s="13">
        <v>45</v>
      </c>
      <c r="C11" s="13">
        <v>52</v>
      </c>
      <c r="D11" s="38">
        <f t="shared" si="0"/>
        <v>0.86538461538461542</v>
      </c>
      <c r="E11" s="13" t="s">
        <v>18</v>
      </c>
    </row>
    <row r="12" spans="1:5" x14ac:dyDescent="0.3">
      <c r="A12" s="13" t="s">
        <v>3</v>
      </c>
      <c r="B12" s="13">
        <v>83</v>
      </c>
      <c r="C12" s="13">
        <v>91</v>
      </c>
      <c r="D12" s="38">
        <f t="shared" si="0"/>
        <v>0.91208791208791207</v>
      </c>
      <c r="E12" s="13" t="s">
        <v>18</v>
      </c>
    </row>
    <row r="13" spans="1:5" x14ac:dyDescent="0.3">
      <c r="A13" s="13" t="s">
        <v>9</v>
      </c>
      <c r="B13" s="13">
        <v>11</v>
      </c>
      <c r="C13" s="13">
        <v>13</v>
      </c>
      <c r="D13" s="38">
        <f t="shared" si="0"/>
        <v>0.84615384615384615</v>
      </c>
      <c r="E13" s="13" t="s">
        <v>18</v>
      </c>
    </row>
    <row r="14" spans="1:5" x14ac:dyDescent="0.3">
      <c r="A14" s="13" t="s">
        <v>4</v>
      </c>
      <c r="B14" s="13">
        <v>29</v>
      </c>
      <c r="C14" s="13">
        <v>35</v>
      </c>
      <c r="D14" s="38">
        <f t="shared" si="0"/>
        <v>0.82857142857142863</v>
      </c>
      <c r="E14" s="13" t="s">
        <v>18</v>
      </c>
    </row>
    <row r="15" spans="1:5" x14ac:dyDescent="0.3">
      <c r="A15" s="13" t="s">
        <v>5</v>
      </c>
      <c r="B15" s="13">
        <v>17</v>
      </c>
      <c r="C15" s="13">
        <v>17</v>
      </c>
      <c r="D15" s="38">
        <f t="shared" si="0"/>
        <v>1</v>
      </c>
      <c r="E15" s="13" t="s">
        <v>18</v>
      </c>
    </row>
    <row r="16" spans="1:5" x14ac:dyDescent="0.3">
      <c r="A16" t="s">
        <v>0</v>
      </c>
      <c r="B16">
        <v>3</v>
      </c>
      <c r="C16">
        <v>4</v>
      </c>
      <c r="D16" s="1">
        <v>0.75</v>
      </c>
      <c r="E16" t="s">
        <v>43</v>
      </c>
    </row>
    <row r="17" spans="1:5" x14ac:dyDescent="0.3">
      <c r="A17" t="s">
        <v>1</v>
      </c>
      <c r="B17">
        <v>81</v>
      </c>
      <c r="C17">
        <v>94</v>
      </c>
      <c r="D17" s="1">
        <v>0.86</v>
      </c>
      <c r="E17" t="s">
        <v>43</v>
      </c>
    </row>
    <row r="18" spans="1:5" x14ac:dyDescent="0.3">
      <c r="A18" t="s">
        <v>2</v>
      </c>
      <c r="B18">
        <v>68</v>
      </c>
      <c r="C18">
        <v>78</v>
      </c>
      <c r="D18" s="1">
        <v>0.87</v>
      </c>
      <c r="E18" t="s">
        <v>43</v>
      </c>
    </row>
    <row r="19" spans="1:5" x14ac:dyDescent="0.3">
      <c r="A19" t="s">
        <v>3</v>
      </c>
      <c r="B19">
        <v>84</v>
      </c>
      <c r="C19">
        <v>91</v>
      </c>
      <c r="D19" s="1">
        <v>0.92</v>
      </c>
      <c r="E19" t="s">
        <v>43</v>
      </c>
    </row>
    <row r="20" spans="1:5" x14ac:dyDescent="0.3">
      <c r="A20" t="s">
        <v>9</v>
      </c>
      <c r="B20">
        <v>17</v>
      </c>
      <c r="C20">
        <v>19</v>
      </c>
      <c r="D20" s="1">
        <v>0.89</v>
      </c>
      <c r="E20" t="s">
        <v>43</v>
      </c>
    </row>
    <row r="21" spans="1:5" x14ac:dyDescent="0.3">
      <c r="A21" t="s">
        <v>4</v>
      </c>
      <c r="B21">
        <v>27</v>
      </c>
      <c r="C21">
        <v>37</v>
      </c>
      <c r="D21" s="1">
        <v>0.73</v>
      </c>
      <c r="E21" t="s">
        <v>43</v>
      </c>
    </row>
    <row r="22" spans="1:5" x14ac:dyDescent="0.3">
      <c r="A22" t="s">
        <v>5</v>
      </c>
      <c r="B22">
        <v>22</v>
      </c>
      <c r="C22">
        <v>27</v>
      </c>
      <c r="D22" s="1">
        <v>0.81</v>
      </c>
      <c r="E22" t="s">
        <v>43</v>
      </c>
    </row>
    <row r="23" spans="1:5" x14ac:dyDescent="0.3">
      <c r="A23" t="s">
        <v>0</v>
      </c>
      <c r="B23">
        <v>4</v>
      </c>
      <c r="C23">
        <v>4</v>
      </c>
      <c r="D23" s="1">
        <v>1</v>
      </c>
      <c r="E23" t="s">
        <v>45</v>
      </c>
    </row>
    <row r="24" spans="1:5" x14ac:dyDescent="0.3">
      <c r="A24" t="s">
        <v>1</v>
      </c>
      <c r="B24">
        <v>81</v>
      </c>
      <c r="C24">
        <v>88</v>
      </c>
      <c r="D24" s="1">
        <v>0.92</v>
      </c>
      <c r="E24" t="s">
        <v>45</v>
      </c>
    </row>
    <row r="25" spans="1:5" x14ac:dyDescent="0.3">
      <c r="A25" t="s">
        <v>2</v>
      </c>
      <c r="B25">
        <v>38</v>
      </c>
      <c r="C25">
        <v>43</v>
      </c>
      <c r="D25" s="1">
        <v>0.88</v>
      </c>
      <c r="E25" t="s">
        <v>45</v>
      </c>
    </row>
    <row r="26" spans="1:5" x14ac:dyDescent="0.3">
      <c r="A26" t="s">
        <v>3</v>
      </c>
      <c r="B26">
        <v>51</v>
      </c>
      <c r="C26">
        <v>61</v>
      </c>
      <c r="D26" s="1">
        <v>0.84</v>
      </c>
      <c r="E26" t="s">
        <v>45</v>
      </c>
    </row>
    <row r="27" spans="1:5" x14ac:dyDescent="0.3">
      <c r="A27" t="s">
        <v>9</v>
      </c>
      <c r="B27">
        <v>20</v>
      </c>
      <c r="C27">
        <v>22</v>
      </c>
      <c r="D27" s="1">
        <v>0.91</v>
      </c>
      <c r="E27" t="s">
        <v>45</v>
      </c>
    </row>
    <row r="28" spans="1:5" x14ac:dyDescent="0.3">
      <c r="A28" t="s">
        <v>4</v>
      </c>
      <c r="B28">
        <v>19</v>
      </c>
      <c r="C28">
        <v>21</v>
      </c>
      <c r="D28" s="1">
        <v>0.9</v>
      </c>
      <c r="E28" t="s">
        <v>45</v>
      </c>
    </row>
    <row r="29" spans="1:5" x14ac:dyDescent="0.3">
      <c r="A29" t="s">
        <v>5</v>
      </c>
      <c r="B29">
        <v>10</v>
      </c>
      <c r="C29">
        <v>14</v>
      </c>
      <c r="D29" s="1">
        <v>0.71</v>
      </c>
      <c r="E29" t="s">
        <v>45</v>
      </c>
    </row>
    <row r="30" spans="1:5" x14ac:dyDescent="0.3">
      <c r="A30" t="s">
        <v>0</v>
      </c>
      <c r="B30">
        <v>4</v>
      </c>
      <c r="C30">
        <v>4</v>
      </c>
      <c r="D30" s="1">
        <v>1</v>
      </c>
      <c r="E30" t="s">
        <v>48</v>
      </c>
    </row>
    <row r="31" spans="1:5" x14ac:dyDescent="0.3">
      <c r="A31" t="s">
        <v>1</v>
      </c>
      <c r="B31">
        <v>123</v>
      </c>
      <c r="C31">
        <v>132</v>
      </c>
      <c r="D31" s="1">
        <v>0.93</v>
      </c>
      <c r="E31" t="s">
        <v>48</v>
      </c>
    </row>
    <row r="32" spans="1:5" x14ac:dyDescent="0.3">
      <c r="A32" t="s">
        <v>2</v>
      </c>
      <c r="B32">
        <v>72</v>
      </c>
      <c r="C32">
        <v>84</v>
      </c>
      <c r="D32" s="1">
        <v>0.86</v>
      </c>
      <c r="E32" t="s">
        <v>48</v>
      </c>
    </row>
    <row r="33" spans="1:5" x14ac:dyDescent="0.3">
      <c r="A33" t="s">
        <v>3</v>
      </c>
      <c r="B33">
        <v>110</v>
      </c>
      <c r="C33">
        <v>124</v>
      </c>
      <c r="D33" s="1">
        <v>0.87</v>
      </c>
      <c r="E33" t="s">
        <v>48</v>
      </c>
    </row>
    <row r="34" spans="1:5" x14ac:dyDescent="0.3">
      <c r="A34" t="s">
        <v>9</v>
      </c>
      <c r="B34">
        <v>16</v>
      </c>
      <c r="C34">
        <v>17</v>
      </c>
      <c r="D34" s="1">
        <v>0.94</v>
      </c>
      <c r="E34" t="s">
        <v>48</v>
      </c>
    </row>
    <row r="35" spans="1:5" x14ac:dyDescent="0.3">
      <c r="A35" t="s">
        <v>4</v>
      </c>
      <c r="B35">
        <v>14</v>
      </c>
      <c r="C35">
        <v>16</v>
      </c>
      <c r="D35" s="1">
        <v>0.88</v>
      </c>
      <c r="E35" t="s">
        <v>48</v>
      </c>
    </row>
    <row r="36" spans="1:5" x14ac:dyDescent="0.3">
      <c r="A36" t="s">
        <v>5</v>
      </c>
      <c r="B36">
        <v>3</v>
      </c>
      <c r="C36">
        <v>4</v>
      </c>
      <c r="D36" s="1">
        <v>0.75</v>
      </c>
      <c r="E36" t="s">
        <v>48</v>
      </c>
    </row>
    <row r="37" spans="1:5" x14ac:dyDescent="0.3">
      <c r="A37" t="s">
        <v>0</v>
      </c>
      <c r="B37">
        <v>5</v>
      </c>
      <c r="C37">
        <v>7</v>
      </c>
      <c r="D37" s="1">
        <v>0.71</v>
      </c>
      <c r="E37" t="s">
        <v>51</v>
      </c>
    </row>
    <row r="38" spans="1:5" x14ac:dyDescent="0.3">
      <c r="A38" t="s">
        <v>1</v>
      </c>
      <c r="B38">
        <v>61</v>
      </c>
      <c r="C38">
        <v>68</v>
      </c>
      <c r="D38" s="1">
        <v>0.9</v>
      </c>
      <c r="E38" t="s">
        <v>51</v>
      </c>
    </row>
    <row r="39" spans="1:5" x14ac:dyDescent="0.3">
      <c r="A39" t="s">
        <v>2</v>
      </c>
      <c r="B39">
        <v>88</v>
      </c>
      <c r="C39">
        <v>97</v>
      </c>
      <c r="D39" s="1">
        <v>0.91</v>
      </c>
      <c r="E39" t="s">
        <v>51</v>
      </c>
    </row>
    <row r="40" spans="1:5" x14ac:dyDescent="0.3">
      <c r="A40" t="s">
        <v>3</v>
      </c>
      <c r="B40">
        <v>60</v>
      </c>
      <c r="C40">
        <v>66</v>
      </c>
      <c r="D40" s="1">
        <v>0.91</v>
      </c>
      <c r="E40" t="s">
        <v>51</v>
      </c>
    </row>
    <row r="41" spans="1:5" x14ac:dyDescent="0.3">
      <c r="A41" t="s">
        <v>9</v>
      </c>
      <c r="B41">
        <v>17</v>
      </c>
      <c r="C41">
        <v>18</v>
      </c>
      <c r="D41" s="1">
        <v>0.94</v>
      </c>
      <c r="E41" t="s">
        <v>51</v>
      </c>
    </row>
    <row r="42" spans="1:5" x14ac:dyDescent="0.3">
      <c r="A42" t="s">
        <v>4</v>
      </c>
      <c r="B42">
        <v>45</v>
      </c>
      <c r="C42">
        <v>49</v>
      </c>
      <c r="D42" s="1">
        <v>0.92</v>
      </c>
      <c r="E42" t="s">
        <v>51</v>
      </c>
    </row>
    <row r="43" spans="1:5" x14ac:dyDescent="0.3">
      <c r="A43" t="s">
        <v>5</v>
      </c>
      <c r="B43">
        <v>22</v>
      </c>
      <c r="C43">
        <v>23</v>
      </c>
      <c r="D43" s="1">
        <v>0.96</v>
      </c>
      <c r="E43" t="s">
        <v>51</v>
      </c>
    </row>
    <row r="44" spans="1:5" x14ac:dyDescent="0.3">
      <c r="A44" t="s">
        <v>0</v>
      </c>
      <c r="B44">
        <v>2</v>
      </c>
      <c r="C44">
        <v>6</v>
      </c>
      <c r="D44" s="1">
        <v>0.33</v>
      </c>
      <c r="E44" t="s">
        <v>53</v>
      </c>
    </row>
    <row r="45" spans="1:5" x14ac:dyDescent="0.3">
      <c r="A45" t="s">
        <v>1</v>
      </c>
      <c r="B45">
        <v>81</v>
      </c>
      <c r="C45">
        <v>95</v>
      </c>
      <c r="D45" s="1">
        <v>0.85</v>
      </c>
      <c r="E45" t="s">
        <v>53</v>
      </c>
    </row>
    <row r="46" spans="1:5" x14ac:dyDescent="0.3">
      <c r="A46" t="s">
        <v>2</v>
      </c>
      <c r="B46">
        <v>90</v>
      </c>
      <c r="C46">
        <v>97</v>
      </c>
      <c r="D46" s="1">
        <v>0.93</v>
      </c>
      <c r="E46" t="s">
        <v>53</v>
      </c>
    </row>
    <row r="47" spans="1:5" x14ac:dyDescent="0.3">
      <c r="A47" t="s">
        <v>3</v>
      </c>
      <c r="B47">
        <v>59</v>
      </c>
      <c r="C47">
        <v>65</v>
      </c>
      <c r="D47" s="1">
        <v>0.91</v>
      </c>
      <c r="E47" t="s">
        <v>53</v>
      </c>
    </row>
    <row r="48" spans="1:5" x14ac:dyDescent="0.3">
      <c r="A48" t="s">
        <v>9</v>
      </c>
      <c r="B48">
        <v>6</v>
      </c>
      <c r="C48">
        <v>7</v>
      </c>
      <c r="D48" s="1">
        <v>0.86</v>
      </c>
      <c r="E48" t="s">
        <v>53</v>
      </c>
    </row>
    <row r="49" spans="1:5" x14ac:dyDescent="0.3">
      <c r="A49" t="s">
        <v>4</v>
      </c>
      <c r="B49">
        <v>24</v>
      </c>
      <c r="C49">
        <v>27</v>
      </c>
      <c r="D49" s="1">
        <v>0.89</v>
      </c>
      <c r="E49" t="s">
        <v>53</v>
      </c>
    </row>
    <row r="50" spans="1:5" x14ac:dyDescent="0.3">
      <c r="A50" t="s">
        <v>5</v>
      </c>
      <c r="B50">
        <v>12</v>
      </c>
      <c r="C50">
        <v>13</v>
      </c>
      <c r="D50" s="1">
        <v>0.92</v>
      </c>
      <c r="E50" t="s">
        <v>53</v>
      </c>
    </row>
    <row r="51" spans="1:5" x14ac:dyDescent="0.3">
      <c r="A51" t="s">
        <v>0</v>
      </c>
      <c r="B51">
        <v>2</v>
      </c>
      <c r="C51">
        <v>6</v>
      </c>
      <c r="D51" s="1">
        <v>0.33</v>
      </c>
      <c r="E51" t="s">
        <v>55</v>
      </c>
    </row>
    <row r="52" spans="1:5" x14ac:dyDescent="0.3">
      <c r="A52" t="s">
        <v>1</v>
      </c>
      <c r="B52">
        <v>89</v>
      </c>
      <c r="C52">
        <v>103</v>
      </c>
      <c r="D52" s="1">
        <v>0.86</v>
      </c>
      <c r="E52" t="s">
        <v>55</v>
      </c>
    </row>
    <row r="53" spans="1:5" x14ac:dyDescent="0.3">
      <c r="A53" t="s">
        <v>2</v>
      </c>
      <c r="B53">
        <v>83</v>
      </c>
      <c r="C53">
        <v>90</v>
      </c>
      <c r="D53" s="1">
        <v>0.92</v>
      </c>
      <c r="E53" t="s">
        <v>55</v>
      </c>
    </row>
    <row r="54" spans="1:5" x14ac:dyDescent="0.3">
      <c r="A54" t="s">
        <v>3</v>
      </c>
      <c r="B54">
        <v>57</v>
      </c>
      <c r="C54">
        <v>63</v>
      </c>
      <c r="D54" s="1">
        <v>0.9</v>
      </c>
      <c r="E54" t="s">
        <v>55</v>
      </c>
    </row>
    <row r="55" spans="1:5" x14ac:dyDescent="0.3">
      <c r="A55" t="s">
        <v>9</v>
      </c>
      <c r="B55">
        <v>6</v>
      </c>
      <c r="C55">
        <v>7</v>
      </c>
      <c r="D55" s="1">
        <v>0.86</v>
      </c>
      <c r="E55" t="s">
        <v>55</v>
      </c>
    </row>
    <row r="56" spans="1:5" x14ac:dyDescent="0.3">
      <c r="A56" t="s">
        <v>4</v>
      </c>
      <c r="B56">
        <v>21</v>
      </c>
      <c r="C56">
        <v>25</v>
      </c>
      <c r="D56" s="1">
        <v>0.84</v>
      </c>
      <c r="E56" t="s">
        <v>55</v>
      </c>
    </row>
    <row r="57" spans="1:5" x14ac:dyDescent="0.3">
      <c r="A57" t="s">
        <v>5</v>
      </c>
      <c r="B57">
        <v>20</v>
      </c>
      <c r="C57">
        <v>22</v>
      </c>
      <c r="D57" s="1">
        <v>0.91</v>
      </c>
      <c r="E57" t="s">
        <v>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F58"/>
  <sheetViews>
    <sheetView topLeftCell="A35" workbookViewId="0">
      <selection activeCell="F58" sqref="F58"/>
    </sheetView>
  </sheetViews>
  <sheetFormatPr defaultRowHeight="14.4" x14ac:dyDescent="0.3"/>
  <cols>
    <col min="1" max="1" width="25.88671875" bestFit="1" customWidth="1"/>
    <col min="3" max="3" width="10.109375" bestFit="1" customWidth="1"/>
  </cols>
  <sheetData>
    <row r="1" spans="1:6" x14ac:dyDescent="0.3">
      <c r="A1" t="s">
        <v>20</v>
      </c>
      <c r="B1" t="s">
        <v>6</v>
      </c>
      <c r="C1" t="s">
        <v>19</v>
      </c>
      <c r="D1" t="s">
        <v>7</v>
      </c>
      <c r="E1" t="s">
        <v>13</v>
      </c>
      <c r="F1" t="s">
        <v>11</v>
      </c>
    </row>
    <row r="2" spans="1:6" x14ac:dyDescent="0.3">
      <c r="A2" t="s">
        <v>0</v>
      </c>
      <c r="B2">
        <v>0</v>
      </c>
      <c r="C2">
        <v>2</v>
      </c>
      <c r="D2">
        <v>2</v>
      </c>
      <c r="E2" s="1">
        <f t="shared" ref="E2:E8" si="0">SUM(C2/D2)</f>
        <v>1</v>
      </c>
      <c r="F2" t="s">
        <v>17</v>
      </c>
    </row>
    <row r="3" spans="1:6" x14ac:dyDescent="0.3">
      <c r="A3" t="s">
        <v>1</v>
      </c>
      <c r="B3">
        <v>10</v>
      </c>
      <c r="C3">
        <v>47</v>
      </c>
      <c r="D3">
        <v>57</v>
      </c>
      <c r="E3" s="1">
        <f t="shared" si="0"/>
        <v>0.82456140350877194</v>
      </c>
      <c r="F3" t="s">
        <v>17</v>
      </c>
    </row>
    <row r="4" spans="1:6" x14ac:dyDescent="0.3">
      <c r="A4" t="s">
        <v>2</v>
      </c>
      <c r="B4">
        <v>1</v>
      </c>
      <c r="C4">
        <v>7</v>
      </c>
      <c r="D4">
        <v>8</v>
      </c>
      <c r="E4" s="1">
        <f t="shared" si="0"/>
        <v>0.875</v>
      </c>
      <c r="F4" t="s">
        <v>17</v>
      </c>
    </row>
    <row r="5" spans="1:6" x14ac:dyDescent="0.3">
      <c r="A5" t="s">
        <v>3</v>
      </c>
      <c r="B5">
        <v>2</v>
      </c>
      <c r="C5">
        <v>9</v>
      </c>
      <c r="D5">
        <v>11</v>
      </c>
      <c r="E5" s="1">
        <f t="shared" si="0"/>
        <v>0.81818181818181823</v>
      </c>
      <c r="F5" t="s">
        <v>17</v>
      </c>
    </row>
    <row r="6" spans="1:6" x14ac:dyDescent="0.3">
      <c r="A6" t="s">
        <v>9</v>
      </c>
      <c r="B6">
        <v>0</v>
      </c>
      <c r="C6">
        <v>5</v>
      </c>
      <c r="D6">
        <v>5</v>
      </c>
      <c r="E6" s="1">
        <f t="shared" si="0"/>
        <v>1</v>
      </c>
      <c r="F6" t="s">
        <v>17</v>
      </c>
    </row>
    <row r="7" spans="1:6" x14ac:dyDescent="0.3">
      <c r="A7" t="s">
        <v>4</v>
      </c>
      <c r="B7">
        <v>0</v>
      </c>
      <c r="C7">
        <v>4</v>
      </c>
      <c r="D7">
        <v>4</v>
      </c>
      <c r="E7" s="1">
        <f t="shared" si="0"/>
        <v>1</v>
      </c>
      <c r="F7" t="s">
        <v>17</v>
      </c>
    </row>
    <row r="8" spans="1:6" x14ac:dyDescent="0.3">
      <c r="A8" t="s">
        <v>5</v>
      </c>
      <c r="B8">
        <v>0</v>
      </c>
      <c r="C8">
        <v>2</v>
      </c>
      <c r="D8">
        <v>2</v>
      </c>
      <c r="E8" s="1">
        <f t="shared" si="0"/>
        <v>1</v>
      </c>
      <c r="F8" t="s">
        <v>17</v>
      </c>
    </row>
    <row r="9" spans="1:6" x14ac:dyDescent="0.3">
      <c r="A9" t="s">
        <v>0</v>
      </c>
      <c r="B9">
        <v>0</v>
      </c>
      <c r="C9">
        <v>0</v>
      </c>
      <c r="D9">
        <v>0</v>
      </c>
      <c r="E9" s="1"/>
      <c r="F9" t="s">
        <v>18</v>
      </c>
    </row>
    <row r="10" spans="1:6" x14ac:dyDescent="0.3">
      <c r="A10" t="s">
        <v>1</v>
      </c>
      <c r="B10">
        <v>10</v>
      </c>
      <c r="C10">
        <v>30</v>
      </c>
      <c r="D10">
        <v>40</v>
      </c>
      <c r="E10" s="1">
        <f t="shared" ref="E10:E15" si="1">SUM(C10/D10)</f>
        <v>0.75</v>
      </c>
      <c r="F10" t="s">
        <v>18</v>
      </c>
    </row>
    <row r="11" spans="1:6" x14ac:dyDescent="0.3">
      <c r="A11" t="s">
        <v>2</v>
      </c>
      <c r="B11">
        <v>3</v>
      </c>
      <c r="C11">
        <v>8</v>
      </c>
      <c r="D11">
        <v>11</v>
      </c>
      <c r="E11" s="1">
        <f t="shared" si="1"/>
        <v>0.72727272727272729</v>
      </c>
      <c r="F11" t="s">
        <v>18</v>
      </c>
    </row>
    <row r="12" spans="1:6" x14ac:dyDescent="0.3">
      <c r="A12" t="s">
        <v>3</v>
      </c>
      <c r="B12">
        <v>1</v>
      </c>
      <c r="C12">
        <v>8</v>
      </c>
      <c r="D12">
        <v>9</v>
      </c>
      <c r="E12" s="1">
        <f t="shared" si="1"/>
        <v>0.88888888888888884</v>
      </c>
      <c r="F12" t="s">
        <v>18</v>
      </c>
    </row>
    <row r="13" spans="1:6" x14ac:dyDescent="0.3">
      <c r="A13" t="s">
        <v>9</v>
      </c>
      <c r="B13">
        <v>1</v>
      </c>
      <c r="C13">
        <v>1</v>
      </c>
      <c r="D13">
        <v>2</v>
      </c>
      <c r="E13" s="1">
        <f t="shared" si="1"/>
        <v>0.5</v>
      </c>
      <c r="F13" t="s">
        <v>18</v>
      </c>
    </row>
    <row r="14" spans="1:6" x14ac:dyDescent="0.3">
      <c r="A14" t="s">
        <v>4</v>
      </c>
      <c r="B14">
        <v>1</v>
      </c>
      <c r="C14">
        <v>0</v>
      </c>
      <c r="D14">
        <v>1</v>
      </c>
      <c r="E14" s="1">
        <f t="shared" si="1"/>
        <v>0</v>
      </c>
      <c r="F14" t="s">
        <v>18</v>
      </c>
    </row>
    <row r="15" spans="1:6" x14ac:dyDescent="0.3">
      <c r="A15" t="s">
        <v>5</v>
      </c>
      <c r="B15">
        <v>2</v>
      </c>
      <c r="C15">
        <v>2</v>
      </c>
      <c r="D15">
        <v>4</v>
      </c>
      <c r="E15" s="1">
        <f t="shared" si="1"/>
        <v>0.5</v>
      </c>
      <c r="F15" t="s">
        <v>18</v>
      </c>
    </row>
    <row r="16" spans="1:6" x14ac:dyDescent="0.3">
      <c r="A16" t="s">
        <v>0</v>
      </c>
      <c r="B16">
        <v>1</v>
      </c>
      <c r="C16">
        <v>3</v>
      </c>
      <c r="D16">
        <v>4</v>
      </c>
      <c r="E16" s="1">
        <v>0.75</v>
      </c>
      <c r="F16" t="s">
        <v>43</v>
      </c>
    </row>
    <row r="17" spans="1:6" x14ac:dyDescent="0.3">
      <c r="A17" t="s">
        <v>1</v>
      </c>
      <c r="B17">
        <v>9</v>
      </c>
      <c r="C17">
        <v>50</v>
      </c>
      <c r="D17">
        <v>59</v>
      </c>
      <c r="E17" s="1">
        <v>0.85</v>
      </c>
      <c r="F17" t="s">
        <v>43</v>
      </c>
    </row>
    <row r="18" spans="1:6" x14ac:dyDescent="0.3">
      <c r="A18" t="s">
        <v>2</v>
      </c>
      <c r="B18">
        <v>2</v>
      </c>
      <c r="C18">
        <v>2</v>
      </c>
      <c r="D18">
        <v>4</v>
      </c>
      <c r="E18" s="1">
        <v>0.5</v>
      </c>
      <c r="F18" t="s">
        <v>43</v>
      </c>
    </row>
    <row r="19" spans="1:6" x14ac:dyDescent="0.3">
      <c r="A19" t="s">
        <v>3</v>
      </c>
      <c r="B19">
        <v>4</v>
      </c>
      <c r="C19">
        <v>5</v>
      </c>
      <c r="D19">
        <v>9</v>
      </c>
      <c r="E19" s="1">
        <v>0.56000000000000005</v>
      </c>
      <c r="F19" t="s">
        <v>43</v>
      </c>
    </row>
    <row r="20" spans="1:6" x14ac:dyDescent="0.3">
      <c r="A20" t="s">
        <v>9</v>
      </c>
      <c r="B20">
        <v>2</v>
      </c>
      <c r="C20">
        <v>5</v>
      </c>
      <c r="D20">
        <v>7</v>
      </c>
      <c r="E20" s="1">
        <v>0.71</v>
      </c>
      <c r="F20" t="s">
        <v>43</v>
      </c>
    </row>
    <row r="21" spans="1:6" x14ac:dyDescent="0.3">
      <c r="A21" t="s">
        <v>4</v>
      </c>
      <c r="B21">
        <v>0</v>
      </c>
      <c r="C21">
        <v>1</v>
      </c>
      <c r="D21">
        <v>1</v>
      </c>
      <c r="E21" s="1">
        <v>1</v>
      </c>
      <c r="F21" t="s">
        <v>43</v>
      </c>
    </row>
    <row r="22" spans="1:6" x14ac:dyDescent="0.3">
      <c r="A22" t="s">
        <v>5</v>
      </c>
      <c r="B22">
        <v>1</v>
      </c>
      <c r="C22">
        <v>1</v>
      </c>
      <c r="D22">
        <v>2</v>
      </c>
      <c r="E22" s="1">
        <v>0.5</v>
      </c>
      <c r="F22" t="s">
        <v>43</v>
      </c>
    </row>
    <row r="23" spans="1:6" x14ac:dyDescent="0.3">
      <c r="A23" t="s">
        <v>0</v>
      </c>
      <c r="B23">
        <v>1</v>
      </c>
      <c r="C23">
        <v>6</v>
      </c>
      <c r="D23">
        <v>7</v>
      </c>
      <c r="E23" s="1">
        <v>0.86</v>
      </c>
      <c r="F23" t="s">
        <v>45</v>
      </c>
    </row>
    <row r="24" spans="1:6" x14ac:dyDescent="0.3">
      <c r="A24" t="s">
        <v>1</v>
      </c>
      <c r="B24">
        <v>5</v>
      </c>
      <c r="C24">
        <v>39</v>
      </c>
      <c r="D24">
        <v>44</v>
      </c>
      <c r="E24" s="1">
        <v>0.89</v>
      </c>
      <c r="F24" t="s">
        <v>45</v>
      </c>
    </row>
    <row r="25" spans="1:6" x14ac:dyDescent="0.3">
      <c r="A25" t="s">
        <v>2</v>
      </c>
      <c r="B25">
        <v>0</v>
      </c>
      <c r="C25">
        <v>2</v>
      </c>
      <c r="D25">
        <v>2</v>
      </c>
      <c r="E25" s="1">
        <v>1</v>
      </c>
      <c r="F25" t="s">
        <v>45</v>
      </c>
    </row>
    <row r="26" spans="1:6" x14ac:dyDescent="0.3">
      <c r="A26" t="s">
        <v>3</v>
      </c>
      <c r="B26">
        <v>1</v>
      </c>
      <c r="C26">
        <v>4</v>
      </c>
      <c r="D26">
        <v>5</v>
      </c>
      <c r="E26" s="1">
        <v>0.8</v>
      </c>
      <c r="F26" t="s">
        <v>45</v>
      </c>
    </row>
    <row r="27" spans="1:6" x14ac:dyDescent="0.3">
      <c r="A27" t="s">
        <v>9</v>
      </c>
      <c r="B27">
        <v>1</v>
      </c>
      <c r="C27">
        <v>1</v>
      </c>
      <c r="D27">
        <v>2</v>
      </c>
      <c r="E27" s="1">
        <v>0.5</v>
      </c>
      <c r="F27" t="s">
        <v>45</v>
      </c>
    </row>
    <row r="28" spans="1:6" x14ac:dyDescent="0.3">
      <c r="A28" t="s">
        <v>4</v>
      </c>
      <c r="B28">
        <v>0</v>
      </c>
      <c r="C28">
        <v>0</v>
      </c>
      <c r="D28">
        <v>0</v>
      </c>
      <c r="E28" s="1"/>
      <c r="F28" t="s">
        <v>45</v>
      </c>
    </row>
    <row r="29" spans="1:6" x14ac:dyDescent="0.3">
      <c r="A29" t="s">
        <v>5</v>
      </c>
      <c r="B29">
        <v>0</v>
      </c>
      <c r="C29">
        <v>0</v>
      </c>
      <c r="D29">
        <v>0</v>
      </c>
      <c r="E29" s="1"/>
      <c r="F29" t="s">
        <v>45</v>
      </c>
    </row>
    <row r="30" spans="1:6" x14ac:dyDescent="0.3">
      <c r="A30" t="s">
        <v>0</v>
      </c>
      <c r="B30">
        <v>3</v>
      </c>
      <c r="C30">
        <v>8</v>
      </c>
      <c r="D30">
        <v>11</v>
      </c>
      <c r="E30" s="1">
        <v>0.73</v>
      </c>
      <c r="F30" t="s">
        <v>48</v>
      </c>
    </row>
    <row r="31" spans="1:6" x14ac:dyDescent="0.3">
      <c r="A31" t="s">
        <v>1</v>
      </c>
      <c r="B31">
        <v>9</v>
      </c>
      <c r="C31">
        <v>49</v>
      </c>
      <c r="D31">
        <v>58</v>
      </c>
      <c r="E31" s="1">
        <v>0.84</v>
      </c>
      <c r="F31" t="s">
        <v>48</v>
      </c>
    </row>
    <row r="32" spans="1:6" x14ac:dyDescent="0.3">
      <c r="A32" t="s">
        <v>2</v>
      </c>
      <c r="B32">
        <v>1</v>
      </c>
      <c r="C32">
        <v>3</v>
      </c>
      <c r="D32">
        <v>4</v>
      </c>
      <c r="E32" s="1">
        <v>0.75</v>
      </c>
      <c r="F32" t="s">
        <v>48</v>
      </c>
    </row>
    <row r="33" spans="1:6" x14ac:dyDescent="0.3">
      <c r="A33" t="s">
        <v>3</v>
      </c>
      <c r="B33">
        <v>0</v>
      </c>
      <c r="C33">
        <v>9</v>
      </c>
      <c r="D33">
        <v>9</v>
      </c>
      <c r="E33" s="1">
        <v>1</v>
      </c>
      <c r="F33" t="s">
        <v>48</v>
      </c>
    </row>
    <row r="34" spans="1:6" x14ac:dyDescent="0.3">
      <c r="A34" t="s">
        <v>9</v>
      </c>
      <c r="B34">
        <v>0</v>
      </c>
      <c r="C34">
        <v>1</v>
      </c>
      <c r="D34">
        <v>1</v>
      </c>
      <c r="E34" s="1">
        <v>1</v>
      </c>
      <c r="F34" t="s">
        <v>48</v>
      </c>
    </row>
    <row r="35" spans="1:6" x14ac:dyDescent="0.3">
      <c r="A35" t="s">
        <v>4</v>
      </c>
      <c r="B35">
        <v>0</v>
      </c>
      <c r="C35">
        <v>0</v>
      </c>
      <c r="D35">
        <v>0</v>
      </c>
      <c r="E35" s="1"/>
      <c r="F35" t="s">
        <v>48</v>
      </c>
    </row>
    <row r="36" spans="1:6" x14ac:dyDescent="0.3">
      <c r="A36" t="s">
        <v>5</v>
      </c>
      <c r="B36">
        <v>0</v>
      </c>
      <c r="C36">
        <v>0</v>
      </c>
      <c r="D36">
        <v>0</v>
      </c>
      <c r="E36" s="1"/>
      <c r="F36" t="s">
        <v>48</v>
      </c>
    </row>
    <row r="37" spans="1:6" x14ac:dyDescent="0.3">
      <c r="A37" t="s">
        <v>47</v>
      </c>
      <c r="B37">
        <v>0</v>
      </c>
      <c r="C37">
        <v>1</v>
      </c>
      <c r="D37">
        <v>1</v>
      </c>
      <c r="E37" s="1">
        <v>1</v>
      </c>
      <c r="F37" t="s">
        <v>48</v>
      </c>
    </row>
    <row r="38" spans="1:6" x14ac:dyDescent="0.3">
      <c r="A38" t="s">
        <v>0</v>
      </c>
      <c r="B38">
        <v>1</v>
      </c>
      <c r="C38">
        <v>4</v>
      </c>
      <c r="D38">
        <v>5</v>
      </c>
      <c r="E38" s="1">
        <v>0.8</v>
      </c>
      <c r="F38" t="s">
        <v>51</v>
      </c>
    </row>
    <row r="39" spans="1:6" x14ac:dyDescent="0.3">
      <c r="A39" t="s">
        <v>1</v>
      </c>
      <c r="B39">
        <v>12</v>
      </c>
      <c r="C39">
        <v>37</v>
      </c>
      <c r="D39">
        <v>49</v>
      </c>
      <c r="E39" s="1">
        <v>0.76</v>
      </c>
      <c r="F39" t="s">
        <v>51</v>
      </c>
    </row>
    <row r="40" spans="1:6" x14ac:dyDescent="0.3">
      <c r="A40" t="s">
        <v>2</v>
      </c>
      <c r="B40">
        <v>1</v>
      </c>
      <c r="C40">
        <v>3</v>
      </c>
      <c r="D40">
        <v>4</v>
      </c>
      <c r="E40" s="1">
        <v>0.75</v>
      </c>
      <c r="F40" t="s">
        <v>51</v>
      </c>
    </row>
    <row r="41" spans="1:6" x14ac:dyDescent="0.3">
      <c r="A41" t="s">
        <v>3</v>
      </c>
      <c r="B41">
        <v>0</v>
      </c>
      <c r="C41">
        <v>7</v>
      </c>
      <c r="D41">
        <v>7</v>
      </c>
      <c r="E41" s="1">
        <v>1</v>
      </c>
      <c r="F41" t="s">
        <v>51</v>
      </c>
    </row>
    <row r="42" spans="1:6" x14ac:dyDescent="0.3">
      <c r="A42" t="s">
        <v>9</v>
      </c>
      <c r="B42">
        <v>0</v>
      </c>
      <c r="C42">
        <v>2</v>
      </c>
      <c r="D42">
        <v>2</v>
      </c>
      <c r="E42" s="1">
        <v>1</v>
      </c>
      <c r="F42" t="s">
        <v>51</v>
      </c>
    </row>
    <row r="43" spans="1:6" x14ac:dyDescent="0.3">
      <c r="A43" t="s">
        <v>4</v>
      </c>
      <c r="B43">
        <v>0</v>
      </c>
      <c r="C43">
        <v>0</v>
      </c>
      <c r="D43">
        <v>0</v>
      </c>
      <c r="E43" s="1"/>
      <c r="F43" t="s">
        <v>51</v>
      </c>
    </row>
    <row r="44" spans="1:6" x14ac:dyDescent="0.3">
      <c r="A44" t="s">
        <v>5</v>
      </c>
      <c r="B44">
        <v>0</v>
      </c>
      <c r="C44">
        <v>0</v>
      </c>
      <c r="D44">
        <v>0</v>
      </c>
      <c r="E44" s="1"/>
      <c r="F44" t="s">
        <v>51</v>
      </c>
    </row>
    <row r="45" spans="1:6" x14ac:dyDescent="0.3">
      <c r="A45" t="s">
        <v>0</v>
      </c>
      <c r="B45">
        <v>0</v>
      </c>
      <c r="C45">
        <v>9</v>
      </c>
      <c r="D45">
        <v>9</v>
      </c>
      <c r="E45" s="1">
        <v>1</v>
      </c>
      <c r="F45" t="s">
        <v>53</v>
      </c>
    </row>
    <row r="46" spans="1:6" x14ac:dyDescent="0.3">
      <c r="A46" t="s">
        <v>1</v>
      </c>
      <c r="B46">
        <v>4</v>
      </c>
      <c r="C46">
        <v>38</v>
      </c>
      <c r="D46">
        <v>42</v>
      </c>
      <c r="E46" s="1">
        <v>0.9</v>
      </c>
      <c r="F46" t="s">
        <v>53</v>
      </c>
    </row>
    <row r="47" spans="1:6" x14ac:dyDescent="0.3">
      <c r="A47" t="s">
        <v>2</v>
      </c>
      <c r="B47">
        <v>1</v>
      </c>
      <c r="C47">
        <v>2</v>
      </c>
      <c r="D47">
        <v>3</v>
      </c>
      <c r="E47" s="1">
        <v>0.67</v>
      </c>
      <c r="F47" t="s">
        <v>53</v>
      </c>
    </row>
    <row r="48" spans="1:6" x14ac:dyDescent="0.3">
      <c r="A48" t="s">
        <v>3</v>
      </c>
      <c r="B48">
        <v>2</v>
      </c>
      <c r="C48">
        <v>3</v>
      </c>
      <c r="D48">
        <v>5</v>
      </c>
      <c r="E48" s="1">
        <v>0.6</v>
      </c>
      <c r="F48" t="s">
        <v>53</v>
      </c>
    </row>
    <row r="49" spans="1:6" x14ac:dyDescent="0.3">
      <c r="A49" t="s">
        <v>9</v>
      </c>
      <c r="B49">
        <v>0</v>
      </c>
      <c r="C49">
        <v>0</v>
      </c>
      <c r="D49">
        <v>0</v>
      </c>
      <c r="E49" s="1"/>
      <c r="F49" t="s">
        <v>53</v>
      </c>
    </row>
    <row r="50" spans="1:6" x14ac:dyDescent="0.3">
      <c r="A50" t="s">
        <v>4</v>
      </c>
      <c r="B50">
        <v>1</v>
      </c>
      <c r="C50">
        <v>0</v>
      </c>
      <c r="D50">
        <v>1</v>
      </c>
      <c r="E50" s="1">
        <v>0</v>
      </c>
      <c r="F50" t="s">
        <v>53</v>
      </c>
    </row>
    <row r="51" spans="1:6" x14ac:dyDescent="0.3">
      <c r="A51" t="s">
        <v>5</v>
      </c>
      <c r="B51">
        <v>1</v>
      </c>
      <c r="C51">
        <v>1</v>
      </c>
      <c r="D51">
        <v>2</v>
      </c>
      <c r="E51" s="1">
        <v>0.5</v>
      </c>
      <c r="F51" t="s">
        <v>53</v>
      </c>
    </row>
    <row r="52" spans="1:6" x14ac:dyDescent="0.3">
      <c r="A52" t="s">
        <v>0</v>
      </c>
      <c r="B52">
        <v>0</v>
      </c>
      <c r="C52">
        <v>9</v>
      </c>
      <c r="D52">
        <v>9</v>
      </c>
      <c r="E52" s="1">
        <v>1</v>
      </c>
      <c r="F52" t="s">
        <v>55</v>
      </c>
    </row>
    <row r="53" spans="1:6" x14ac:dyDescent="0.3">
      <c r="A53" t="s">
        <v>1</v>
      </c>
      <c r="B53">
        <v>10</v>
      </c>
      <c r="C53">
        <v>34</v>
      </c>
      <c r="D53">
        <v>44</v>
      </c>
      <c r="E53" s="1">
        <v>0.77</v>
      </c>
      <c r="F53" t="s">
        <v>55</v>
      </c>
    </row>
    <row r="54" spans="1:6" x14ac:dyDescent="0.3">
      <c r="A54" t="s">
        <v>2</v>
      </c>
      <c r="B54">
        <v>3</v>
      </c>
      <c r="C54">
        <v>3</v>
      </c>
      <c r="D54">
        <v>6</v>
      </c>
      <c r="E54" s="1">
        <v>0.5</v>
      </c>
      <c r="F54" t="s">
        <v>55</v>
      </c>
    </row>
    <row r="55" spans="1:6" x14ac:dyDescent="0.3">
      <c r="A55" t="s">
        <v>3</v>
      </c>
      <c r="B55">
        <v>2</v>
      </c>
      <c r="C55">
        <v>1</v>
      </c>
      <c r="D55">
        <v>3</v>
      </c>
      <c r="E55" s="1">
        <v>0.33</v>
      </c>
      <c r="F55" t="s">
        <v>55</v>
      </c>
    </row>
    <row r="56" spans="1:6" x14ac:dyDescent="0.3">
      <c r="A56" t="s">
        <v>9</v>
      </c>
      <c r="B56">
        <v>3</v>
      </c>
      <c r="C56">
        <v>0</v>
      </c>
      <c r="D56">
        <v>3</v>
      </c>
      <c r="E56" s="1">
        <v>0</v>
      </c>
      <c r="F56" t="s">
        <v>55</v>
      </c>
    </row>
    <row r="57" spans="1:6" x14ac:dyDescent="0.3">
      <c r="A57" t="s">
        <v>4</v>
      </c>
      <c r="B57">
        <v>0</v>
      </c>
      <c r="C57">
        <v>0</v>
      </c>
      <c r="D57">
        <v>0</v>
      </c>
      <c r="E57" s="1"/>
      <c r="F57" t="s">
        <v>55</v>
      </c>
    </row>
    <row r="58" spans="1:6" x14ac:dyDescent="0.3">
      <c r="A58" t="s">
        <v>5</v>
      </c>
      <c r="B58">
        <v>0</v>
      </c>
      <c r="C58">
        <v>0</v>
      </c>
      <c r="D58">
        <v>0</v>
      </c>
      <c r="E58" s="1"/>
      <c r="F58" t="s">
        <v>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79"/>
  <sheetViews>
    <sheetView topLeftCell="A49" workbookViewId="0">
      <selection activeCell="E70" sqref="E70"/>
    </sheetView>
  </sheetViews>
  <sheetFormatPr defaultColWidth="9.109375" defaultRowHeight="14.4" x14ac:dyDescent="0.3"/>
  <cols>
    <col min="1" max="1" width="24.5546875" style="13" bestFit="1" customWidth="1"/>
    <col min="2" max="2" width="12" style="13" customWidth="1"/>
    <col min="3" max="3" width="15.109375" style="13" bestFit="1" customWidth="1"/>
    <col min="4" max="5" width="15.109375" style="13" customWidth="1"/>
    <col min="6" max="6" width="11.109375" style="13" bestFit="1" customWidth="1"/>
    <col min="7" max="7" width="21.44140625" style="13" bestFit="1" customWidth="1"/>
    <col min="8" max="8" width="20.44140625" style="13" bestFit="1" customWidth="1"/>
    <col min="9" max="9" width="9.109375" style="13"/>
    <col min="10" max="10" width="11.6640625" style="13" bestFit="1" customWidth="1"/>
    <col min="11" max="11" width="14" style="13" bestFit="1" customWidth="1"/>
    <col min="12" max="13" width="9.109375" style="13"/>
    <col min="14" max="14" width="13.5546875" style="13" bestFit="1" customWidth="1"/>
    <col min="15" max="16384" width="9.109375" style="13"/>
  </cols>
  <sheetData>
    <row r="1" spans="1:9" ht="15" thickBot="1" x14ac:dyDescent="0.35">
      <c r="A1" s="21" t="s">
        <v>25</v>
      </c>
      <c r="B1" s="22" t="s">
        <v>19</v>
      </c>
      <c r="C1" s="22" t="s">
        <v>7</v>
      </c>
      <c r="D1" s="23" t="s">
        <v>16</v>
      </c>
      <c r="E1" s="23" t="s">
        <v>11</v>
      </c>
    </row>
    <row r="2" spans="1:9" ht="15" thickTop="1" x14ac:dyDescent="0.3">
      <c r="A2" s="24" t="s">
        <v>0</v>
      </c>
      <c r="B2" s="25">
        <v>7</v>
      </c>
      <c r="C2" s="25">
        <v>10</v>
      </c>
      <c r="D2" s="26">
        <f>SUM(B2/C2)</f>
        <v>0.7</v>
      </c>
      <c r="E2" s="27" t="s">
        <v>26</v>
      </c>
      <c r="F2" s="16"/>
      <c r="G2" s="17"/>
      <c r="H2" s="17"/>
      <c r="I2" s="16"/>
    </row>
    <row r="3" spans="1:9" x14ac:dyDescent="0.3">
      <c r="A3" s="28" t="s">
        <v>1</v>
      </c>
      <c r="B3" s="29">
        <v>9</v>
      </c>
      <c r="C3" s="29">
        <v>10</v>
      </c>
      <c r="D3" s="26">
        <f t="shared" ref="D3:D20" si="0">SUM(B3/C3)</f>
        <v>0.9</v>
      </c>
      <c r="E3" s="30" t="s">
        <v>26</v>
      </c>
      <c r="G3" s="18"/>
    </row>
    <row r="4" spans="1:9" x14ac:dyDescent="0.3">
      <c r="A4" s="24" t="s">
        <v>2</v>
      </c>
      <c r="B4" s="25">
        <v>8</v>
      </c>
      <c r="C4" s="25">
        <v>10</v>
      </c>
      <c r="D4" s="26">
        <f t="shared" si="0"/>
        <v>0.8</v>
      </c>
      <c r="E4" s="27" t="s">
        <v>26</v>
      </c>
      <c r="G4" s="18"/>
    </row>
    <row r="5" spans="1:9" x14ac:dyDescent="0.3">
      <c r="A5" s="28" t="s">
        <v>3</v>
      </c>
      <c r="B5" s="29">
        <v>9</v>
      </c>
      <c r="C5" s="29">
        <v>10</v>
      </c>
      <c r="D5" s="26">
        <f t="shared" si="0"/>
        <v>0.9</v>
      </c>
      <c r="E5" s="30" t="s">
        <v>26</v>
      </c>
      <c r="G5" s="18"/>
    </row>
    <row r="6" spans="1:9" x14ac:dyDescent="0.3">
      <c r="A6" s="24" t="s">
        <v>14</v>
      </c>
      <c r="B6" s="25">
        <v>4</v>
      </c>
      <c r="C6" s="25">
        <v>4</v>
      </c>
      <c r="D6" s="26">
        <f t="shared" si="0"/>
        <v>1</v>
      </c>
      <c r="E6" s="27" t="s">
        <v>26</v>
      </c>
      <c r="G6" s="18"/>
    </row>
    <row r="7" spans="1:9" x14ac:dyDescent="0.3">
      <c r="A7" s="28" t="s">
        <v>9</v>
      </c>
      <c r="B7" s="29">
        <v>7</v>
      </c>
      <c r="C7" s="29">
        <v>10</v>
      </c>
      <c r="D7" s="26">
        <f t="shared" si="0"/>
        <v>0.7</v>
      </c>
      <c r="E7" s="30" t="s">
        <v>26</v>
      </c>
      <c r="G7" s="17"/>
    </row>
    <row r="8" spans="1:9" x14ac:dyDescent="0.3">
      <c r="A8" s="24" t="s">
        <v>4</v>
      </c>
      <c r="B8" s="25">
        <v>9</v>
      </c>
      <c r="C8" s="25">
        <v>10</v>
      </c>
      <c r="D8" s="26">
        <f t="shared" si="0"/>
        <v>0.9</v>
      </c>
      <c r="E8" s="27" t="s">
        <v>26</v>
      </c>
      <c r="G8" s="17"/>
    </row>
    <row r="9" spans="1:9" x14ac:dyDescent="0.3">
      <c r="A9" s="31" t="s">
        <v>5</v>
      </c>
      <c r="B9" s="32">
        <v>8</v>
      </c>
      <c r="C9" s="32">
        <v>10</v>
      </c>
      <c r="D9" s="26">
        <f t="shared" si="0"/>
        <v>0.8</v>
      </c>
      <c r="E9" s="33" t="s">
        <v>26</v>
      </c>
      <c r="G9" s="17"/>
    </row>
    <row r="10" spans="1:9" x14ac:dyDescent="0.3">
      <c r="A10" s="24" t="s">
        <v>0</v>
      </c>
      <c r="B10" s="25">
        <v>5</v>
      </c>
      <c r="C10" s="25">
        <v>10</v>
      </c>
      <c r="D10" s="26">
        <f t="shared" si="0"/>
        <v>0.5</v>
      </c>
      <c r="E10" s="27" t="s">
        <v>18</v>
      </c>
      <c r="G10" s="17"/>
    </row>
    <row r="11" spans="1:9" x14ac:dyDescent="0.3">
      <c r="A11" s="28" t="s">
        <v>1</v>
      </c>
      <c r="B11" s="29">
        <v>9</v>
      </c>
      <c r="C11" s="29">
        <v>10</v>
      </c>
      <c r="D11" s="26">
        <f t="shared" si="0"/>
        <v>0.9</v>
      </c>
      <c r="E11" s="30" t="s">
        <v>18</v>
      </c>
      <c r="G11" s="17"/>
    </row>
    <row r="12" spans="1:9" x14ac:dyDescent="0.3">
      <c r="A12" s="24" t="s">
        <v>2</v>
      </c>
      <c r="B12" s="25">
        <v>7</v>
      </c>
      <c r="C12" s="25">
        <v>10</v>
      </c>
      <c r="D12" s="26">
        <f t="shared" si="0"/>
        <v>0.7</v>
      </c>
      <c r="E12" s="27" t="s">
        <v>18</v>
      </c>
      <c r="G12" s="17"/>
    </row>
    <row r="13" spans="1:9" x14ac:dyDescent="0.3">
      <c r="A13" s="28" t="s">
        <v>27</v>
      </c>
      <c r="B13" s="29">
        <v>4</v>
      </c>
      <c r="C13" s="29">
        <v>5</v>
      </c>
      <c r="D13" s="26">
        <f t="shared" si="0"/>
        <v>0.8</v>
      </c>
      <c r="E13" s="30" t="s">
        <v>18</v>
      </c>
      <c r="G13" s="17"/>
    </row>
    <row r="14" spans="1:9" x14ac:dyDescent="0.3">
      <c r="A14" s="24" t="s">
        <v>3</v>
      </c>
      <c r="B14" s="25">
        <v>10</v>
      </c>
      <c r="C14" s="25">
        <v>10</v>
      </c>
      <c r="D14" s="26">
        <f t="shared" si="0"/>
        <v>1</v>
      </c>
      <c r="E14" s="27" t="s">
        <v>18</v>
      </c>
      <c r="G14" s="17"/>
    </row>
    <row r="15" spans="1:9" x14ac:dyDescent="0.3">
      <c r="A15" s="28" t="s">
        <v>14</v>
      </c>
      <c r="B15" s="29">
        <v>5</v>
      </c>
      <c r="C15" s="29">
        <v>5</v>
      </c>
      <c r="D15" s="26">
        <f t="shared" si="0"/>
        <v>1</v>
      </c>
      <c r="E15" s="30" t="s">
        <v>18</v>
      </c>
      <c r="G15" s="17"/>
    </row>
    <row r="16" spans="1:9" x14ac:dyDescent="0.3">
      <c r="A16" s="24" t="s">
        <v>9</v>
      </c>
      <c r="B16" s="25">
        <v>10</v>
      </c>
      <c r="C16" s="25">
        <v>10</v>
      </c>
      <c r="D16" s="26">
        <f t="shared" si="0"/>
        <v>1</v>
      </c>
      <c r="E16" s="27" t="s">
        <v>18</v>
      </c>
      <c r="G16" s="20"/>
    </row>
    <row r="17" spans="1:7" x14ac:dyDescent="0.3">
      <c r="A17" s="28" t="s">
        <v>4</v>
      </c>
      <c r="B17" s="29">
        <v>8</v>
      </c>
      <c r="C17" s="29">
        <v>10</v>
      </c>
      <c r="D17" s="26">
        <f t="shared" si="0"/>
        <v>0.8</v>
      </c>
      <c r="E17" s="30" t="s">
        <v>18</v>
      </c>
      <c r="F17" s="16"/>
      <c r="G17" s="20"/>
    </row>
    <row r="18" spans="1:7" x14ac:dyDescent="0.3">
      <c r="A18" s="34" t="s">
        <v>5</v>
      </c>
      <c r="B18" s="35">
        <v>10</v>
      </c>
      <c r="C18" s="35">
        <v>10</v>
      </c>
      <c r="D18" s="26">
        <f t="shared" si="0"/>
        <v>1</v>
      </c>
      <c r="E18" s="36" t="s">
        <v>18</v>
      </c>
      <c r="G18" s="20"/>
    </row>
    <row r="19" spans="1:7" x14ac:dyDescent="0.3">
      <c r="A19" s="24" t="s">
        <v>0</v>
      </c>
      <c r="B19" s="25">
        <v>2</v>
      </c>
      <c r="C19" s="25">
        <v>4</v>
      </c>
      <c r="D19" s="26">
        <f t="shared" si="0"/>
        <v>0.5</v>
      </c>
      <c r="E19" s="27" t="s">
        <v>43</v>
      </c>
      <c r="G19" s="20"/>
    </row>
    <row r="20" spans="1:7" x14ac:dyDescent="0.3">
      <c r="A20" s="28" t="s">
        <v>1</v>
      </c>
      <c r="B20" s="29">
        <v>9</v>
      </c>
      <c r="C20" s="29">
        <v>10</v>
      </c>
      <c r="D20" s="26">
        <f t="shared" si="0"/>
        <v>0.9</v>
      </c>
      <c r="E20" s="27" t="s">
        <v>43</v>
      </c>
      <c r="G20" s="20"/>
    </row>
    <row r="21" spans="1:7" x14ac:dyDescent="0.3">
      <c r="A21" s="24" t="s">
        <v>2</v>
      </c>
      <c r="B21" s="25">
        <v>10</v>
      </c>
      <c r="C21" s="25">
        <v>10</v>
      </c>
      <c r="D21" s="26">
        <f t="shared" ref="D21:D28" si="1">SUM(B21/C21)</f>
        <v>1</v>
      </c>
      <c r="E21" s="27" t="s">
        <v>43</v>
      </c>
      <c r="G21" s="20"/>
    </row>
    <row r="22" spans="1:7" x14ac:dyDescent="0.3">
      <c r="A22" s="24" t="s">
        <v>3</v>
      </c>
      <c r="B22" s="25">
        <v>10</v>
      </c>
      <c r="C22" s="25">
        <v>10</v>
      </c>
      <c r="D22" s="26">
        <f t="shared" si="1"/>
        <v>1</v>
      </c>
      <c r="E22" s="27" t="s">
        <v>43</v>
      </c>
      <c r="G22" s="20"/>
    </row>
    <row r="23" spans="1:7" x14ac:dyDescent="0.3">
      <c r="A23" s="28" t="s">
        <v>14</v>
      </c>
      <c r="B23" s="29">
        <v>3</v>
      </c>
      <c r="C23" s="29">
        <v>8</v>
      </c>
      <c r="D23" s="26">
        <f t="shared" si="1"/>
        <v>0.375</v>
      </c>
      <c r="E23" s="27" t="s">
        <v>43</v>
      </c>
      <c r="G23" s="18"/>
    </row>
    <row r="24" spans="1:7" x14ac:dyDescent="0.3">
      <c r="A24" s="24" t="s">
        <v>9</v>
      </c>
      <c r="B24" s="25">
        <v>10</v>
      </c>
      <c r="C24" s="25">
        <v>10</v>
      </c>
      <c r="D24" s="26">
        <f t="shared" si="1"/>
        <v>1</v>
      </c>
      <c r="E24" s="27" t="s">
        <v>43</v>
      </c>
    </row>
    <row r="25" spans="1:7" x14ac:dyDescent="0.3">
      <c r="A25" s="28" t="s">
        <v>4</v>
      </c>
      <c r="B25" s="29">
        <v>8</v>
      </c>
      <c r="C25" s="29">
        <v>10</v>
      </c>
      <c r="D25" s="26">
        <f t="shared" si="1"/>
        <v>0.8</v>
      </c>
      <c r="E25" s="27" t="s">
        <v>43</v>
      </c>
    </row>
    <row r="26" spans="1:7" x14ac:dyDescent="0.3">
      <c r="A26" s="34" t="s">
        <v>5</v>
      </c>
      <c r="B26" s="35">
        <v>8</v>
      </c>
      <c r="C26" s="35">
        <v>10</v>
      </c>
      <c r="D26" s="26">
        <f t="shared" si="1"/>
        <v>0.8</v>
      </c>
      <c r="E26" s="27" t="s">
        <v>43</v>
      </c>
    </row>
    <row r="27" spans="1:7" x14ac:dyDescent="0.3">
      <c r="A27" s="24" t="s">
        <v>0</v>
      </c>
      <c r="B27" s="25">
        <v>2</v>
      </c>
      <c r="C27" s="25">
        <v>5</v>
      </c>
      <c r="D27" s="26">
        <f t="shared" si="1"/>
        <v>0.4</v>
      </c>
      <c r="E27" s="27" t="s">
        <v>45</v>
      </c>
    </row>
    <row r="28" spans="1:7" x14ac:dyDescent="0.3">
      <c r="A28" s="28" t="s">
        <v>1</v>
      </c>
      <c r="B28" s="29">
        <v>9</v>
      </c>
      <c r="C28" s="29">
        <v>10</v>
      </c>
      <c r="D28" s="26">
        <f t="shared" si="1"/>
        <v>0.9</v>
      </c>
      <c r="E28" s="27" t="s">
        <v>45</v>
      </c>
    </row>
    <row r="29" spans="1:7" x14ac:dyDescent="0.3">
      <c r="A29" s="24" t="s">
        <v>2</v>
      </c>
      <c r="B29" s="25">
        <v>6</v>
      </c>
      <c r="C29" s="25">
        <v>10</v>
      </c>
      <c r="D29" s="26">
        <f t="shared" ref="D29:D36" si="2">SUM(B29/C29)</f>
        <v>0.6</v>
      </c>
      <c r="E29" s="27" t="s">
        <v>45</v>
      </c>
    </row>
    <row r="30" spans="1:7" x14ac:dyDescent="0.3">
      <c r="A30" s="24" t="s">
        <v>3</v>
      </c>
      <c r="B30" s="25">
        <v>9</v>
      </c>
      <c r="C30" s="25">
        <v>10</v>
      </c>
      <c r="D30" s="26">
        <f t="shared" si="2"/>
        <v>0.9</v>
      </c>
      <c r="E30" s="27" t="s">
        <v>45</v>
      </c>
    </row>
    <row r="31" spans="1:7" x14ac:dyDescent="0.3">
      <c r="A31" s="28" t="s">
        <v>14</v>
      </c>
      <c r="B31" s="29">
        <v>2</v>
      </c>
      <c r="C31" s="29">
        <v>4</v>
      </c>
      <c r="D31" s="26">
        <f t="shared" si="2"/>
        <v>0.5</v>
      </c>
      <c r="E31" s="27" t="s">
        <v>45</v>
      </c>
    </row>
    <row r="32" spans="1:7" x14ac:dyDescent="0.3">
      <c r="A32" s="24" t="s">
        <v>9</v>
      </c>
      <c r="B32" s="25">
        <v>8</v>
      </c>
      <c r="C32" s="25">
        <v>10</v>
      </c>
      <c r="D32" s="26">
        <f t="shared" si="2"/>
        <v>0.8</v>
      </c>
      <c r="E32" s="27" t="s">
        <v>45</v>
      </c>
    </row>
    <row r="33" spans="1:5" x14ac:dyDescent="0.3">
      <c r="A33" s="28" t="s">
        <v>4</v>
      </c>
      <c r="B33" s="29">
        <v>10</v>
      </c>
      <c r="C33" s="29">
        <v>10</v>
      </c>
      <c r="D33" s="26">
        <f t="shared" si="2"/>
        <v>1</v>
      </c>
      <c r="E33" s="27" t="s">
        <v>45</v>
      </c>
    </row>
    <row r="34" spans="1:5" x14ac:dyDescent="0.3">
      <c r="A34" s="34" t="s">
        <v>5</v>
      </c>
      <c r="B34" s="35">
        <v>10</v>
      </c>
      <c r="C34" s="35">
        <v>10</v>
      </c>
      <c r="D34" s="26">
        <f t="shared" si="2"/>
        <v>1</v>
      </c>
      <c r="E34" s="27" t="s">
        <v>45</v>
      </c>
    </row>
    <row r="35" spans="1:5" x14ac:dyDescent="0.3">
      <c r="A35" s="24" t="s">
        <v>0</v>
      </c>
      <c r="B35" s="25">
        <v>0</v>
      </c>
      <c r="C35" s="25">
        <v>0</v>
      </c>
      <c r="D35" s="26" t="e">
        <f t="shared" si="2"/>
        <v>#DIV/0!</v>
      </c>
      <c r="E35" s="27" t="s">
        <v>48</v>
      </c>
    </row>
    <row r="36" spans="1:5" x14ac:dyDescent="0.3">
      <c r="A36" s="28" t="s">
        <v>1</v>
      </c>
      <c r="B36" s="29">
        <v>7</v>
      </c>
      <c r="C36" s="29">
        <v>10</v>
      </c>
      <c r="D36" s="26">
        <f t="shared" si="2"/>
        <v>0.7</v>
      </c>
      <c r="E36" s="27" t="s">
        <v>48</v>
      </c>
    </row>
    <row r="37" spans="1:5" x14ac:dyDescent="0.3">
      <c r="A37" s="24" t="s">
        <v>2</v>
      </c>
      <c r="B37" s="25">
        <v>10</v>
      </c>
      <c r="C37" s="25">
        <v>10</v>
      </c>
      <c r="D37" s="26">
        <f t="shared" ref="D37:D45" si="3">SUM(B37/C37)</f>
        <v>1</v>
      </c>
      <c r="E37" s="27" t="s">
        <v>48</v>
      </c>
    </row>
    <row r="38" spans="1:5" x14ac:dyDescent="0.3">
      <c r="A38" s="24" t="s">
        <v>3</v>
      </c>
      <c r="B38" s="25">
        <v>9</v>
      </c>
      <c r="C38" s="25">
        <v>10</v>
      </c>
      <c r="D38" s="26">
        <f t="shared" si="3"/>
        <v>0.9</v>
      </c>
      <c r="E38" s="27" t="s">
        <v>48</v>
      </c>
    </row>
    <row r="39" spans="1:5" x14ac:dyDescent="0.3">
      <c r="A39" s="28" t="s">
        <v>14</v>
      </c>
      <c r="B39" s="29">
        <v>6</v>
      </c>
      <c r="C39" s="29">
        <v>8</v>
      </c>
      <c r="D39" s="26">
        <f t="shared" si="3"/>
        <v>0.75</v>
      </c>
      <c r="E39" s="27" t="s">
        <v>48</v>
      </c>
    </row>
    <row r="40" spans="1:5" x14ac:dyDescent="0.3">
      <c r="A40" s="24" t="s">
        <v>9</v>
      </c>
      <c r="B40" s="25">
        <v>10</v>
      </c>
      <c r="C40" s="25">
        <v>10</v>
      </c>
      <c r="D40" s="26">
        <f t="shared" si="3"/>
        <v>1</v>
      </c>
      <c r="E40" s="27" t="s">
        <v>48</v>
      </c>
    </row>
    <row r="41" spans="1:5" x14ac:dyDescent="0.3">
      <c r="A41" s="28" t="s">
        <v>4</v>
      </c>
      <c r="B41" s="29">
        <v>9</v>
      </c>
      <c r="C41" s="29">
        <v>10</v>
      </c>
      <c r="D41" s="26">
        <f t="shared" si="3"/>
        <v>0.9</v>
      </c>
      <c r="E41" s="27" t="s">
        <v>48</v>
      </c>
    </row>
    <row r="42" spans="1:5" x14ac:dyDescent="0.3">
      <c r="A42" s="34" t="s">
        <v>5</v>
      </c>
      <c r="B42" s="35">
        <v>10</v>
      </c>
      <c r="C42" s="35">
        <v>10</v>
      </c>
      <c r="D42" s="26">
        <f t="shared" si="3"/>
        <v>1</v>
      </c>
      <c r="E42" s="27" t="s">
        <v>48</v>
      </c>
    </row>
    <row r="43" spans="1:5" x14ac:dyDescent="0.3">
      <c r="A43" s="54" t="s">
        <v>49</v>
      </c>
      <c r="B43" s="29">
        <v>2</v>
      </c>
      <c r="C43" s="29">
        <v>2</v>
      </c>
      <c r="D43" s="26">
        <f t="shared" si="3"/>
        <v>1</v>
      </c>
      <c r="E43" s="27" t="s">
        <v>48</v>
      </c>
    </row>
    <row r="44" spans="1:5" x14ac:dyDescent="0.3">
      <c r="A44" s="24" t="s">
        <v>0</v>
      </c>
      <c r="B44" s="25">
        <v>1</v>
      </c>
      <c r="C44" s="25">
        <v>1</v>
      </c>
      <c r="D44" s="26">
        <f t="shared" si="3"/>
        <v>1</v>
      </c>
      <c r="E44" s="27" t="s">
        <v>51</v>
      </c>
    </row>
    <row r="45" spans="1:5" x14ac:dyDescent="0.3">
      <c r="A45" s="28" t="s">
        <v>1</v>
      </c>
      <c r="B45" s="29">
        <v>6</v>
      </c>
      <c r="C45" s="29">
        <v>10</v>
      </c>
      <c r="D45" s="26">
        <f t="shared" si="3"/>
        <v>0.6</v>
      </c>
      <c r="E45" s="27" t="s">
        <v>51</v>
      </c>
    </row>
    <row r="46" spans="1:5" x14ac:dyDescent="0.3">
      <c r="A46" s="24" t="s">
        <v>2</v>
      </c>
      <c r="B46" s="25">
        <v>9</v>
      </c>
      <c r="C46" s="25">
        <v>10</v>
      </c>
      <c r="D46" s="26">
        <f t="shared" ref="D46:D70" si="4">SUM(B46/C46)</f>
        <v>0.9</v>
      </c>
      <c r="E46" s="27" t="s">
        <v>51</v>
      </c>
    </row>
    <row r="47" spans="1:5" x14ac:dyDescent="0.3">
      <c r="A47" s="24" t="s">
        <v>3</v>
      </c>
      <c r="B47" s="25">
        <v>8</v>
      </c>
      <c r="C47" s="25">
        <v>10</v>
      </c>
      <c r="D47" s="26">
        <f t="shared" si="4"/>
        <v>0.8</v>
      </c>
      <c r="E47" s="27" t="s">
        <v>51</v>
      </c>
    </row>
    <row r="48" spans="1:5" x14ac:dyDescent="0.3">
      <c r="A48" s="28" t="s">
        <v>14</v>
      </c>
      <c r="B48" s="29">
        <v>1</v>
      </c>
      <c r="C48" s="29">
        <v>2</v>
      </c>
      <c r="D48" s="26">
        <f t="shared" si="4"/>
        <v>0.5</v>
      </c>
      <c r="E48" s="27" t="s">
        <v>51</v>
      </c>
    </row>
    <row r="49" spans="1:5" x14ac:dyDescent="0.3">
      <c r="A49" s="24" t="s">
        <v>9</v>
      </c>
      <c r="B49" s="25">
        <v>10</v>
      </c>
      <c r="C49" s="25">
        <v>10</v>
      </c>
      <c r="D49" s="26">
        <f t="shared" si="4"/>
        <v>1</v>
      </c>
      <c r="E49" s="27" t="s">
        <v>51</v>
      </c>
    </row>
    <row r="50" spans="1:5" x14ac:dyDescent="0.3">
      <c r="A50" s="28" t="s">
        <v>4</v>
      </c>
      <c r="B50" s="29">
        <v>8</v>
      </c>
      <c r="C50" s="29">
        <v>10</v>
      </c>
      <c r="D50" s="26">
        <f t="shared" si="4"/>
        <v>0.8</v>
      </c>
      <c r="E50" s="27" t="s">
        <v>51</v>
      </c>
    </row>
    <row r="51" spans="1:5" x14ac:dyDescent="0.3">
      <c r="A51" s="34" t="s">
        <v>5</v>
      </c>
      <c r="B51" s="35">
        <v>10</v>
      </c>
      <c r="C51" s="35">
        <v>10</v>
      </c>
      <c r="D51" s="26">
        <f t="shared" si="4"/>
        <v>1</v>
      </c>
      <c r="E51" s="27" t="s">
        <v>51</v>
      </c>
    </row>
    <row r="52" spans="1:5" x14ac:dyDescent="0.3">
      <c r="A52" s="54" t="s">
        <v>49</v>
      </c>
      <c r="B52" s="29">
        <v>2</v>
      </c>
      <c r="C52" s="29">
        <v>2</v>
      </c>
      <c r="D52" s="26">
        <f t="shared" si="4"/>
        <v>1</v>
      </c>
      <c r="E52" s="27" t="s">
        <v>51</v>
      </c>
    </row>
    <row r="53" spans="1:5" x14ac:dyDescent="0.3">
      <c r="A53" s="24" t="s">
        <v>0</v>
      </c>
      <c r="B53" s="25">
        <v>2</v>
      </c>
      <c r="C53" s="25">
        <v>2</v>
      </c>
      <c r="D53" s="26">
        <f t="shared" si="4"/>
        <v>1</v>
      </c>
      <c r="E53" s="27" t="s">
        <v>53</v>
      </c>
    </row>
    <row r="54" spans="1:5" x14ac:dyDescent="0.3">
      <c r="A54" s="28" t="s">
        <v>1</v>
      </c>
      <c r="B54" s="29">
        <v>8</v>
      </c>
      <c r="C54" s="29">
        <v>10</v>
      </c>
      <c r="D54" s="26">
        <f t="shared" si="4"/>
        <v>0.8</v>
      </c>
      <c r="E54" s="27" t="s">
        <v>53</v>
      </c>
    </row>
    <row r="55" spans="1:5" x14ac:dyDescent="0.3">
      <c r="A55" s="24" t="s">
        <v>2</v>
      </c>
      <c r="B55" s="25">
        <v>8</v>
      </c>
      <c r="C55" s="25">
        <v>10</v>
      </c>
      <c r="D55" s="26">
        <f t="shared" si="4"/>
        <v>0.8</v>
      </c>
      <c r="E55" s="27" t="s">
        <v>53</v>
      </c>
    </row>
    <row r="56" spans="1:5" x14ac:dyDescent="0.3">
      <c r="A56" s="24" t="s">
        <v>3</v>
      </c>
      <c r="B56" s="25">
        <v>9</v>
      </c>
      <c r="C56" s="25">
        <v>10</v>
      </c>
      <c r="D56" s="26">
        <f t="shared" si="4"/>
        <v>0.9</v>
      </c>
      <c r="E56" s="27" t="s">
        <v>53</v>
      </c>
    </row>
    <row r="57" spans="1:5" x14ac:dyDescent="0.3">
      <c r="A57" s="28" t="s">
        <v>14</v>
      </c>
      <c r="B57" s="29">
        <v>1</v>
      </c>
      <c r="C57" s="29">
        <v>1</v>
      </c>
      <c r="D57" s="26">
        <f t="shared" si="4"/>
        <v>1</v>
      </c>
      <c r="E57" s="27" t="s">
        <v>53</v>
      </c>
    </row>
    <row r="58" spans="1:5" x14ac:dyDescent="0.3">
      <c r="A58" s="24" t="s">
        <v>9</v>
      </c>
      <c r="B58" s="25">
        <v>9</v>
      </c>
      <c r="C58" s="25">
        <v>10</v>
      </c>
      <c r="D58" s="26">
        <f t="shared" si="4"/>
        <v>0.9</v>
      </c>
      <c r="E58" s="27" t="s">
        <v>53</v>
      </c>
    </row>
    <row r="59" spans="1:5" x14ac:dyDescent="0.3">
      <c r="A59" s="28" t="s">
        <v>4</v>
      </c>
      <c r="B59" s="29">
        <v>10</v>
      </c>
      <c r="C59" s="29">
        <v>10</v>
      </c>
      <c r="D59" s="26">
        <f t="shared" si="4"/>
        <v>1</v>
      </c>
      <c r="E59" s="27" t="s">
        <v>53</v>
      </c>
    </row>
    <row r="60" spans="1:5" x14ac:dyDescent="0.3">
      <c r="A60" s="34" t="s">
        <v>5</v>
      </c>
      <c r="B60" s="35">
        <v>10</v>
      </c>
      <c r="C60" s="35">
        <v>10</v>
      </c>
      <c r="D60" s="26">
        <f t="shared" si="4"/>
        <v>1</v>
      </c>
      <c r="E60" s="27" t="s">
        <v>53</v>
      </c>
    </row>
    <row r="61" spans="1:5" x14ac:dyDescent="0.3">
      <c r="A61" s="54" t="s">
        <v>49</v>
      </c>
      <c r="B61" s="29">
        <v>2</v>
      </c>
      <c r="C61" s="29">
        <v>3</v>
      </c>
      <c r="D61" s="26">
        <f t="shared" si="4"/>
        <v>0.66666666666666663</v>
      </c>
      <c r="E61" s="27" t="s">
        <v>53</v>
      </c>
    </row>
    <row r="62" spans="1:5" x14ac:dyDescent="0.3">
      <c r="A62" s="24" t="s">
        <v>0</v>
      </c>
      <c r="B62" s="25">
        <v>0</v>
      </c>
      <c r="C62" s="25">
        <v>0</v>
      </c>
      <c r="D62" s="26" t="e">
        <f t="shared" si="4"/>
        <v>#DIV/0!</v>
      </c>
      <c r="E62" s="27" t="s">
        <v>55</v>
      </c>
    </row>
    <row r="63" spans="1:5" x14ac:dyDescent="0.3">
      <c r="A63" s="28" t="s">
        <v>1</v>
      </c>
      <c r="B63" s="29">
        <v>10</v>
      </c>
      <c r="C63" s="29">
        <v>10</v>
      </c>
      <c r="D63" s="26">
        <f t="shared" si="4"/>
        <v>1</v>
      </c>
      <c r="E63" s="27" t="s">
        <v>55</v>
      </c>
    </row>
    <row r="64" spans="1:5" x14ac:dyDescent="0.3">
      <c r="A64" s="24" t="s">
        <v>2</v>
      </c>
      <c r="B64" s="25">
        <v>8</v>
      </c>
      <c r="C64" s="29">
        <v>10</v>
      </c>
      <c r="D64" s="26">
        <f t="shared" si="4"/>
        <v>0.8</v>
      </c>
      <c r="E64" s="27" t="s">
        <v>55</v>
      </c>
    </row>
    <row r="65" spans="1:7" x14ac:dyDescent="0.3">
      <c r="A65" s="24" t="s">
        <v>3</v>
      </c>
      <c r="B65" s="25">
        <v>9</v>
      </c>
      <c r="C65" s="29">
        <v>10</v>
      </c>
      <c r="D65" s="26">
        <f t="shared" si="4"/>
        <v>0.9</v>
      </c>
      <c r="E65" s="27" t="s">
        <v>55</v>
      </c>
      <c r="G65" s="20"/>
    </row>
    <row r="66" spans="1:7" x14ac:dyDescent="0.3">
      <c r="A66" s="28" t="s">
        <v>14</v>
      </c>
      <c r="B66" s="29">
        <v>3</v>
      </c>
      <c r="C66" s="29">
        <v>4</v>
      </c>
      <c r="D66" s="26">
        <f t="shared" si="4"/>
        <v>0.75</v>
      </c>
      <c r="E66" s="27" t="s">
        <v>55</v>
      </c>
      <c r="G66" s="20"/>
    </row>
    <row r="67" spans="1:7" x14ac:dyDescent="0.3">
      <c r="A67" s="24" t="s">
        <v>9</v>
      </c>
      <c r="B67" s="25">
        <v>10</v>
      </c>
      <c r="C67" s="29">
        <v>10</v>
      </c>
      <c r="D67" s="26">
        <f t="shared" si="4"/>
        <v>1</v>
      </c>
      <c r="E67" s="27" t="s">
        <v>55</v>
      </c>
      <c r="G67" s="20"/>
    </row>
    <row r="68" spans="1:7" x14ac:dyDescent="0.3">
      <c r="A68" s="28" t="s">
        <v>4</v>
      </c>
      <c r="B68" s="29">
        <v>9</v>
      </c>
      <c r="C68" s="29">
        <v>10</v>
      </c>
      <c r="D68" s="26">
        <f t="shared" si="4"/>
        <v>0.9</v>
      </c>
      <c r="E68" s="27" t="s">
        <v>55</v>
      </c>
      <c r="G68" s="20"/>
    </row>
    <row r="69" spans="1:7" x14ac:dyDescent="0.3">
      <c r="A69" s="34" t="s">
        <v>5</v>
      </c>
      <c r="B69" s="35">
        <v>10</v>
      </c>
      <c r="C69" s="29">
        <v>10</v>
      </c>
      <c r="D69" s="26">
        <f t="shared" si="4"/>
        <v>1</v>
      </c>
      <c r="E69" s="27" t="s">
        <v>55</v>
      </c>
      <c r="G69" s="20"/>
    </row>
    <row r="70" spans="1:7" x14ac:dyDescent="0.3">
      <c r="A70" s="54" t="s">
        <v>49</v>
      </c>
      <c r="B70" s="29">
        <v>0</v>
      </c>
      <c r="C70" s="29">
        <v>0</v>
      </c>
      <c r="D70" s="26" t="e">
        <f t="shared" si="4"/>
        <v>#DIV/0!</v>
      </c>
      <c r="E70" s="27" t="s">
        <v>55</v>
      </c>
      <c r="G70" s="17"/>
    </row>
    <row r="71" spans="1:7" x14ac:dyDescent="0.3">
      <c r="B71" s="14"/>
      <c r="D71" s="15"/>
      <c r="E71" s="15"/>
      <c r="G71" s="17"/>
    </row>
    <row r="72" spans="1:7" x14ac:dyDescent="0.3">
      <c r="B72" s="14"/>
      <c r="C72" s="19"/>
      <c r="D72" s="15"/>
      <c r="E72" s="15"/>
      <c r="G72" s="17"/>
    </row>
    <row r="73" spans="1:7" x14ac:dyDescent="0.3">
      <c r="B73" s="14"/>
      <c r="D73" s="15"/>
      <c r="E73" s="15"/>
      <c r="G73" s="17"/>
    </row>
    <row r="74" spans="1:7" x14ac:dyDescent="0.3">
      <c r="B74" s="14"/>
      <c r="D74" s="15"/>
      <c r="E74" s="15"/>
      <c r="G74" s="17"/>
    </row>
    <row r="75" spans="1:7" x14ac:dyDescent="0.3">
      <c r="B75" s="14"/>
      <c r="D75" s="15"/>
      <c r="E75" s="15"/>
      <c r="G75" s="17"/>
    </row>
    <row r="76" spans="1:7" x14ac:dyDescent="0.3">
      <c r="B76" s="14"/>
      <c r="D76" s="15"/>
      <c r="E76" s="15"/>
      <c r="G76" s="17"/>
    </row>
    <row r="77" spans="1:7" x14ac:dyDescent="0.3">
      <c r="B77" s="14"/>
      <c r="D77" s="15"/>
      <c r="E77" s="15"/>
      <c r="G77" s="17"/>
    </row>
    <row r="78" spans="1:7" x14ac:dyDescent="0.3">
      <c r="B78" s="14"/>
      <c r="D78" s="15"/>
      <c r="E78" s="15"/>
      <c r="G78" s="18"/>
    </row>
    <row r="79" spans="1:7" x14ac:dyDescent="0.3">
      <c r="B79" s="14"/>
      <c r="D79" s="15"/>
      <c r="E79" s="15"/>
      <c r="G79" s="1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4" sqref="A4"/>
    </sheetView>
  </sheetViews>
  <sheetFormatPr defaultRowHeight="14.4" x14ac:dyDescent="0.3"/>
  <sheetData>
    <row r="1" spans="1:5" x14ac:dyDescent="0.3">
      <c r="A1" t="s">
        <v>10</v>
      </c>
      <c r="B1" t="s">
        <v>6</v>
      </c>
      <c r="C1" t="s">
        <v>7</v>
      </c>
      <c r="D1" s="1" t="s">
        <v>8</v>
      </c>
      <c r="E1" t="s">
        <v>11</v>
      </c>
    </row>
    <row r="2" spans="1:5" x14ac:dyDescent="0.3">
      <c r="A2" t="s">
        <v>0</v>
      </c>
      <c r="B2">
        <v>0</v>
      </c>
      <c r="C2">
        <v>0</v>
      </c>
      <c r="D2" s="1">
        <v>1</v>
      </c>
      <c r="E2" t="s">
        <v>12</v>
      </c>
    </row>
    <row r="3" spans="1:5" x14ac:dyDescent="0.3">
      <c r="A3" t="s">
        <v>1</v>
      </c>
      <c r="B3">
        <v>10</v>
      </c>
      <c r="C3">
        <v>40</v>
      </c>
      <c r="D3" s="1">
        <v>0.75</v>
      </c>
      <c r="E3" t="s">
        <v>12</v>
      </c>
    </row>
    <row r="4" spans="1:5" x14ac:dyDescent="0.3">
      <c r="A4" t="s">
        <v>2</v>
      </c>
      <c r="B4">
        <v>3</v>
      </c>
      <c r="C4">
        <v>11</v>
      </c>
      <c r="D4" s="1">
        <v>0.73</v>
      </c>
      <c r="E4" t="s">
        <v>12</v>
      </c>
    </row>
    <row r="5" spans="1:5" x14ac:dyDescent="0.3">
      <c r="A5" t="s">
        <v>3</v>
      </c>
      <c r="B5">
        <v>1</v>
      </c>
      <c r="C5">
        <v>9</v>
      </c>
      <c r="D5" s="1">
        <v>0.89</v>
      </c>
      <c r="E5" t="s">
        <v>12</v>
      </c>
    </row>
    <row r="6" spans="1:5" x14ac:dyDescent="0.3">
      <c r="A6" t="s">
        <v>9</v>
      </c>
      <c r="B6">
        <v>1</v>
      </c>
      <c r="C6">
        <v>2</v>
      </c>
      <c r="D6" s="1">
        <v>0.5</v>
      </c>
      <c r="E6" t="s">
        <v>12</v>
      </c>
    </row>
    <row r="7" spans="1:5" x14ac:dyDescent="0.3">
      <c r="A7" t="s">
        <v>4</v>
      </c>
      <c r="B7">
        <v>1</v>
      </c>
      <c r="C7">
        <v>1</v>
      </c>
      <c r="D7" s="1">
        <v>0</v>
      </c>
      <c r="E7" t="s">
        <v>12</v>
      </c>
    </row>
    <row r="8" spans="1:5" x14ac:dyDescent="0.3">
      <c r="A8" t="s">
        <v>5</v>
      </c>
      <c r="B8">
        <v>2</v>
      </c>
      <c r="C8">
        <v>4</v>
      </c>
      <c r="D8" s="1">
        <v>0.5</v>
      </c>
      <c r="E8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42B8F9D126BF4C9C34CC1F56243EFE" ma:contentTypeVersion="13" ma:contentTypeDescription="Create a new document." ma:contentTypeScope="" ma:versionID="4c176fc14a0c9f64d6738740f949eb9f">
  <xsd:schema xmlns:xsd="http://www.w3.org/2001/XMLSchema" xmlns:xs="http://www.w3.org/2001/XMLSchema" xmlns:p="http://schemas.microsoft.com/office/2006/metadata/properties" xmlns:ns2="c0828ac7-0bba-4cdc-9aa8-42a734e87ba3" xmlns:ns3="fa3bb0f1-c977-432e-829d-48259e02cde8" targetNamespace="http://schemas.microsoft.com/office/2006/metadata/properties" ma:root="true" ma:fieldsID="60340e930666b55a28a02e7c3b40c199" ns2:_="" ns3:_="">
    <xsd:import namespace="c0828ac7-0bba-4cdc-9aa8-42a734e87ba3"/>
    <xsd:import namespace="fa3bb0f1-c977-432e-829d-48259e02cd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28ac7-0bba-4cdc-9aa8-42a734e87b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b2b9f12-5299-42f9-aae3-17fe11b0ed5a}" ma:internalName="TaxCatchAll" ma:showField="CatchAllData" ma:web="c0828ac7-0bba-4cdc-9aa8-42a734e87b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bb0f1-c977-432e-829d-48259e02cde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898b932-ec87-4f6e-a380-e59be69e9f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828ac7-0bba-4cdc-9aa8-42a734e87ba3" xsi:nil="true"/>
    <lcf76f155ced4ddcb4097134ff3c332f xmlns="fa3bb0f1-c977-432e-829d-48259e02cd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7144A-F8D3-44C1-967A-592C99C53245}"/>
</file>

<file path=customXml/itemProps2.xml><?xml version="1.0" encoding="utf-8"?>
<ds:datastoreItem xmlns:ds="http://schemas.openxmlformats.org/officeDocument/2006/customXml" ds:itemID="{F6E26482-C181-4540-9BE4-54F4217FE1D6}"/>
</file>

<file path=customXml/itemProps3.xml><?xml version="1.0" encoding="utf-8"?>
<ds:datastoreItem xmlns:ds="http://schemas.openxmlformats.org/officeDocument/2006/customXml" ds:itemID="{8110F3DE-3692-4815-9B47-B104FDBE2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Pain Prior PRN Meds</vt:lpstr>
      <vt:lpstr>Pain Post PRN Meds</vt:lpstr>
      <vt:lpstr>Violent Restraint Log</vt:lpstr>
      <vt:lpstr>Non-Violent Restraint Order</vt:lpstr>
      <vt:lpstr>Non-Violent Restraint Log</vt:lpstr>
      <vt:lpstr>Blood Admin</vt:lpstr>
      <vt:lpstr>Feb</vt:lpstr>
    </vt:vector>
  </TitlesOfParts>
  <Company>Providence Health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Anguiano, Michelle F</dc:creator>
  <cp:lastModifiedBy>Louie, Michael C</cp:lastModifiedBy>
  <dcterms:created xsi:type="dcterms:W3CDTF">2016-02-05T22:38:41Z</dcterms:created>
  <dcterms:modified xsi:type="dcterms:W3CDTF">2020-08-06T21:23:52Z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a905b5-8388-4a05-b89a-55e43f7b4d00_Enabled">
    <vt:lpwstr>true</vt:lpwstr>
  </property>
  <property fmtid="{D5CDD505-2E9C-101B-9397-08002B2CF9AE}" pid="3" name="MSIP_Label_11a905b5-8388-4a05-b89a-55e43f7b4d00_SetDate">
    <vt:lpwstr>2020-06-05T00:13:55Z</vt:lpwstr>
  </property>
  <property fmtid="{D5CDD505-2E9C-101B-9397-08002B2CF9AE}" pid="4" name="MSIP_Label_11a905b5-8388-4a05-b89a-55e43f7b4d00_Method">
    <vt:lpwstr>Standard</vt:lpwstr>
  </property>
  <property fmtid="{D5CDD505-2E9C-101B-9397-08002B2CF9AE}" pid="5" name="MSIP_Label_11a905b5-8388-4a05-b89a-55e43f7b4d00_Name">
    <vt:lpwstr>General</vt:lpwstr>
  </property>
  <property fmtid="{D5CDD505-2E9C-101B-9397-08002B2CF9AE}" pid="6" name="MSIP_Label_11a905b5-8388-4a05-b89a-55e43f7b4d00_SiteId">
    <vt:lpwstr>2e319086-9a26-46a3-865f-615bed576786</vt:lpwstr>
  </property>
  <property fmtid="{D5CDD505-2E9C-101B-9397-08002B2CF9AE}" pid="7" name="MSIP_Label_11a905b5-8388-4a05-b89a-55e43f7b4d00_ActionId">
    <vt:lpwstr>c7c59016-38b4-453c-b93b-739d60ed5de5</vt:lpwstr>
  </property>
  <property fmtid="{D5CDD505-2E9C-101B-9397-08002B2CF9AE}" pid="8" name="MSIP_Label_11a905b5-8388-4a05-b89a-55e43f7b4d00_ContentBits">
    <vt:lpwstr>0</vt:lpwstr>
  </property>
  <property fmtid="{D5CDD505-2E9C-101B-9397-08002B2CF9AE}" pid="9" name="ContentTypeId">
    <vt:lpwstr>0x0101005942B8F9D126BF4C9C34CC1F56243EFE</vt:lpwstr>
  </property>
</Properties>
</file>